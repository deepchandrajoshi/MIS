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pivotTables/pivotTable1.xml" ContentType="application/vnd.openxmlformats-officedocument.spreadsheetml.pivotTable+xml"/>
  <Override PartName="/xl/drawings/drawing14.xml" ContentType="application/vnd.openxmlformats-officedocument.drawing+xml"/>
  <Override PartName="/xl/pivotTables/pivotTable2.xml" ContentType="application/vnd.openxmlformats-officedocument.spreadsheetml.pivotTable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1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olors10.xml" ContentType="application/vnd.ms-office.chartcolorstyle+xml"/>
  <Override PartName="/xl/charts/style1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MIS AUG 2026\MIS\Excel\"/>
    </mc:Choice>
  </mc:AlternateContent>
  <bookViews>
    <workbookView xWindow="-105" yWindow="-105" windowWidth="23250" windowHeight="12570" tabRatio="923" firstSheet="3" activeTab="13"/>
  </bookViews>
  <sheets>
    <sheet name="Sheet1" sheetId="1" r:id="rId1"/>
    <sheet name="SWITCH" sheetId="5" r:id="rId2"/>
    <sheet name="TEXT JOIN FORMULA" sheetId="2" r:id="rId3"/>
    <sheet name="IFS FORMULA" sheetId="3" r:id="rId4"/>
    <sheet name="MAXIFS AND MINIFS" sheetId="4" r:id="rId5"/>
    <sheet name="FILTER FORMULA" sheetId="6" r:id="rId6"/>
    <sheet name="SORT FORMULA" sheetId="7" r:id="rId7"/>
    <sheet name="UNIQUE" sheetId="13" r:id="rId8"/>
    <sheet name="XLOOKUP IN EXCEL" sheetId="8" r:id="rId9"/>
    <sheet name=" XMATCH" sheetId="10" r:id="rId10"/>
    <sheet name="SEQUENCE" sheetId="14" r:id="rId11"/>
    <sheet name="ANALYZE DATA" sheetId="11" r:id="rId12"/>
    <sheet name="MAP CHART" sheetId="12" r:id="rId13"/>
    <sheet name="Suggestion1" sheetId="15" r:id="rId14"/>
    <sheet name="Suggestion2" sheetId="16" r:id="rId15"/>
    <sheet name="Suggestion3" sheetId="17" r:id="rId16"/>
  </sheets>
  <definedNames>
    <definedName name="_xlchart.v5.0" hidden="1">'MAP CHART'!$A$10:$A$14</definedName>
    <definedName name="_xlchart.v5.1" hidden="1">'MAP CHART'!$A$9</definedName>
    <definedName name="_xlchart.v5.2" hidden="1">'MAP CHART'!$B$10:$B$14</definedName>
    <definedName name="_xlchart.v5.3" hidden="1">'MAP CHART'!$B$9</definedName>
  </definedNames>
  <calcPr calcId="162913"/>
  <pivotCaches>
    <pivotCache cacheId="179" r:id="rId17"/>
    <pivotCache cacheId="180" r:id="rId1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4" l="1" a="1"/>
  <c r="A2" i="14" s="1"/>
  <c r="I8" i="10"/>
  <c r="F8" i="10"/>
  <c r="L3" i="10"/>
  <c r="I3" i="10"/>
  <c r="F3" i="10"/>
  <c r="I2" i="8"/>
  <c r="J2" i="8"/>
  <c r="K2" i="8"/>
  <c r="H2" i="8"/>
  <c r="F2" i="13" a="1"/>
  <c r="F2" i="13" s="1"/>
  <c r="F2" i="7" a="1"/>
  <c r="F2" i="7" s="1"/>
  <c r="K1" i="7" a="1"/>
  <c r="K1" i="7" s="1"/>
  <c r="F2" i="6" a="1"/>
  <c r="F2" i="6" s="1"/>
  <c r="I3" i="4"/>
  <c r="I2" i="4"/>
  <c r="G3" i="4"/>
  <c r="G2" i="4"/>
  <c r="C3" i="3" a="1"/>
  <c r="C3" i="3"/>
  <c r="C4" i="3" a="1"/>
  <c r="C4" i="3"/>
  <c r="C5" i="3" a="1"/>
  <c r="C5" i="3"/>
  <c r="C6" i="3" a="1"/>
  <c r="C6" i="3"/>
  <c r="C2" i="3" a="1"/>
  <c r="C2" i="3" s="1"/>
  <c r="C3" i="2"/>
  <c r="C4" i="2"/>
  <c r="C5" i="2"/>
  <c r="C6" i="2"/>
  <c r="C2" i="2"/>
  <c r="C3" i="5" a="1"/>
  <c r="C3" i="5" s="1"/>
  <c r="C4" i="5" a="1"/>
  <c r="C4" i="5"/>
  <c r="C5" i="5" a="1"/>
  <c r="C5" i="5"/>
  <c r="C6" i="5" a="1"/>
  <c r="C6" i="5"/>
  <c r="C7" i="5" a="1"/>
  <c r="C7" i="5"/>
  <c r="C8" i="5" a="1"/>
  <c r="C8" i="5"/>
  <c r="C9" i="5" a="1"/>
  <c r="C9" i="5"/>
  <c r="C10" i="5" a="1"/>
  <c r="C10" i="5"/>
  <c r="C2" i="5" a="1"/>
  <c r="C2" i="5" s="1"/>
  <c r="A11" i="14"/>
  <c r="A10" i="14"/>
  <c r="A9" i="14"/>
  <c r="A8" i="14"/>
  <c r="A7" i="14"/>
  <c r="A6" i="14"/>
  <c r="A5" i="14"/>
  <c r="A4" i="14"/>
  <c r="A3" i="14"/>
  <c r="I8" i="13"/>
  <c r="H8" i="13"/>
  <c r="G8" i="13"/>
  <c r="F8" i="13"/>
  <c r="I7" i="13"/>
  <c r="H7" i="13"/>
  <c r="G7" i="13"/>
  <c r="F7" i="13"/>
  <c r="I6" i="13"/>
  <c r="H6" i="13"/>
  <c r="G6" i="13"/>
  <c r="F6" i="13"/>
  <c r="I5" i="13"/>
  <c r="H5" i="13"/>
  <c r="G5" i="13"/>
  <c r="F5" i="13"/>
  <c r="I4" i="13"/>
  <c r="H4" i="13"/>
  <c r="G4" i="13"/>
  <c r="F4" i="13"/>
  <c r="I3" i="13"/>
  <c r="H3" i="13"/>
  <c r="G3" i="13"/>
  <c r="F3" i="13"/>
  <c r="I2" i="13"/>
  <c r="H2" i="13"/>
  <c r="G2" i="13"/>
  <c r="I17" i="7"/>
  <c r="H17" i="7"/>
  <c r="G17" i="7"/>
  <c r="F17" i="7"/>
  <c r="I16" i="7"/>
  <c r="H16" i="7"/>
  <c r="G16" i="7"/>
  <c r="F16" i="7"/>
  <c r="I15" i="7"/>
  <c r="H15" i="7"/>
  <c r="G15" i="7"/>
  <c r="F15" i="7"/>
  <c r="I14" i="7"/>
  <c r="H14" i="7"/>
  <c r="G14" i="7"/>
  <c r="F14" i="7"/>
  <c r="I13" i="7"/>
  <c r="H13" i="7"/>
  <c r="G13" i="7"/>
  <c r="F13" i="7"/>
  <c r="I12" i="7"/>
  <c r="H12" i="7"/>
  <c r="G12" i="7"/>
  <c r="F12" i="7"/>
  <c r="I11" i="7"/>
  <c r="H11" i="7"/>
  <c r="G11" i="7"/>
  <c r="F11" i="7"/>
  <c r="I10" i="7"/>
  <c r="H10" i="7"/>
  <c r="G10" i="7"/>
  <c r="F10" i="7"/>
  <c r="I9" i="7"/>
  <c r="H9" i="7"/>
  <c r="G9" i="7"/>
  <c r="F9" i="7"/>
  <c r="I8" i="7"/>
  <c r="H8" i="7"/>
  <c r="G8" i="7"/>
  <c r="F8" i="7"/>
  <c r="I7" i="7"/>
  <c r="H7" i="7"/>
  <c r="G7" i="7"/>
  <c r="F7" i="7"/>
  <c r="I6" i="7"/>
  <c r="H6" i="7"/>
  <c r="G6" i="7"/>
  <c r="F6" i="7"/>
  <c r="I5" i="7"/>
  <c r="H5" i="7"/>
  <c r="G5" i="7"/>
  <c r="F5" i="7"/>
  <c r="I4" i="7"/>
  <c r="H4" i="7"/>
  <c r="G4" i="7"/>
  <c r="F4" i="7"/>
  <c r="I3" i="7"/>
  <c r="H3" i="7"/>
  <c r="G3" i="7"/>
  <c r="F3" i="7"/>
  <c r="I2" i="7"/>
  <c r="H2" i="7"/>
  <c r="G2" i="7"/>
  <c r="N17" i="7"/>
  <c r="M17" i="7"/>
  <c r="L17" i="7"/>
  <c r="K17" i="7"/>
  <c r="N16" i="7"/>
  <c r="M16" i="7"/>
  <c r="L16" i="7"/>
  <c r="K16" i="7"/>
  <c r="N15" i="7"/>
  <c r="M15" i="7"/>
  <c r="L15" i="7"/>
  <c r="K15" i="7"/>
  <c r="N14" i="7"/>
  <c r="M14" i="7"/>
  <c r="L14" i="7"/>
  <c r="K14" i="7"/>
  <c r="N13" i="7"/>
  <c r="M13" i="7"/>
  <c r="L13" i="7"/>
  <c r="K13" i="7"/>
  <c r="N12" i="7"/>
  <c r="M12" i="7"/>
  <c r="L12" i="7"/>
  <c r="K12" i="7"/>
  <c r="N11" i="7"/>
  <c r="M11" i="7"/>
  <c r="L11" i="7"/>
  <c r="K11" i="7"/>
  <c r="N10" i="7"/>
  <c r="M10" i="7"/>
  <c r="L10" i="7"/>
  <c r="K10" i="7"/>
  <c r="N9" i="7"/>
  <c r="M9" i="7"/>
  <c r="L9" i="7"/>
  <c r="K9" i="7"/>
  <c r="N8" i="7"/>
  <c r="M8" i="7"/>
  <c r="L8" i="7"/>
  <c r="K8" i="7"/>
  <c r="N7" i="7"/>
  <c r="M7" i="7"/>
  <c r="L7" i="7"/>
  <c r="K7" i="7"/>
  <c r="N6" i="7"/>
  <c r="M6" i="7"/>
  <c r="L6" i="7"/>
  <c r="K6" i="7"/>
  <c r="N5" i="7"/>
  <c r="M5" i="7"/>
  <c r="L5" i="7"/>
  <c r="K5" i="7"/>
  <c r="N4" i="7"/>
  <c r="M4" i="7"/>
  <c r="L4" i="7"/>
  <c r="K4" i="7"/>
  <c r="N3" i="7"/>
  <c r="M3" i="7"/>
  <c r="L3" i="7"/>
  <c r="K3" i="7"/>
  <c r="N2" i="7"/>
  <c r="M2" i="7"/>
  <c r="L2" i="7"/>
  <c r="K2" i="7"/>
  <c r="N1" i="7"/>
  <c r="M1" i="7"/>
  <c r="L1" i="7"/>
  <c r="I9" i="6"/>
  <c r="H9" i="6"/>
  <c r="G9" i="6"/>
  <c r="F9" i="6"/>
  <c r="I8" i="6"/>
  <c r="H8" i="6"/>
  <c r="G8" i="6"/>
  <c r="F8" i="6"/>
  <c r="I7" i="6"/>
  <c r="H7" i="6"/>
  <c r="G7" i="6"/>
  <c r="F7" i="6"/>
  <c r="I6" i="6"/>
  <c r="H6" i="6"/>
  <c r="G6" i="6"/>
  <c r="F6" i="6"/>
  <c r="I5" i="6"/>
  <c r="H5" i="6"/>
  <c r="G5" i="6"/>
  <c r="F5" i="6"/>
  <c r="I4" i="6"/>
  <c r="H4" i="6"/>
  <c r="G4" i="6"/>
  <c r="F4" i="6"/>
  <c r="I3" i="6"/>
  <c r="H3" i="6"/>
  <c r="G3" i="6"/>
  <c r="F3" i="6"/>
  <c r="I2" i="6"/>
  <c r="H2" i="6"/>
  <c r="G2" i="6"/>
  <c r="C2" i="14" a="1"/>
  <c r="C2" i="14" l="1"/>
  <c r="H3" i="14"/>
  <c r="I3" i="14"/>
  <c r="D2" i="14"/>
  <c r="J3" i="14"/>
  <c r="E2" i="14"/>
  <c r="K3" i="14"/>
  <c r="G3" i="14"/>
  <c r="F2" i="14"/>
  <c r="L3" i="14"/>
  <c r="C4" i="14"/>
  <c r="C3" i="14"/>
  <c r="G2" i="14"/>
  <c r="H2" i="14"/>
  <c r="D4" i="14"/>
  <c r="E4" i="14"/>
  <c r="I2" i="14"/>
  <c r="J2" i="14"/>
  <c r="F4" i="14"/>
  <c r="G4" i="14"/>
  <c r="L2" i="14"/>
  <c r="H4" i="14"/>
  <c r="I4" i="14"/>
  <c r="J4" i="14"/>
  <c r="K2" i="14"/>
  <c r="K4" i="14"/>
  <c r="D3" i="14"/>
  <c r="E3" i="14"/>
  <c r="F3" i="14"/>
  <c r="L4" i="1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<sst xmlns="http://schemas.openxmlformats.org/spreadsheetml/2006/main" count="397" uniqueCount="123">
  <si>
    <t>Salesman</t>
  </si>
  <si>
    <t>Qty</t>
  </si>
  <si>
    <t>Ajay</t>
  </si>
  <si>
    <t>Vikas</t>
  </si>
  <si>
    <t>Anil</t>
  </si>
  <si>
    <t>Ravi</t>
  </si>
  <si>
    <t>Simran</t>
  </si>
  <si>
    <t>Text Join</t>
  </si>
  <si>
    <t>Performance</t>
  </si>
  <si>
    <t>Crietria</t>
  </si>
  <si>
    <t>Average</t>
  </si>
  <si>
    <t>&gt;=</t>
  </si>
  <si>
    <t>Best</t>
  </si>
  <si>
    <t>Good</t>
  </si>
  <si>
    <t>&lt;</t>
  </si>
  <si>
    <t>Dull</t>
  </si>
  <si>
    <t>Zone</t>
  </si>
  <si>
    <t>CITY</t>
  </si>
  <si>
    <t>East</t>
  </si>
  <si>
    <t>MUMBAI</t>
  </si>
  <si>
    <t>PUNE</t>
  </si>
  <si>
    <t>South</t>
  </si>
  <si>
    <t>West</t>
  </si>
  <si>
    <t>Anvi</t>
  </si>
  <si>
    <t>Shital</t>
  </si>
  <si>
    <t>North</t>
  </si>
  <si>
    <t>Priya</t>
  </si>
  <si>
    <t>Rajiv</t>
  </si>
  <si>
    <t>Sandeep</t>
  </si>
  <si>
    <t>Ram</t>
  </si>
  <si>
    <t>Shantnu</t>
  </si>
  <si>
    <t>Ramraje</t>
  </si>
  <si>
    <t>ITEM CODE</t>
  </si>
  <si>
    <t>ITEM</t>
  </si>
  <si>
    <t>ZANDU BALM</t>
  </si>
  <si>
    <t>TIGER BALM</t>
  </si>
  <si>
    <t>NEW BALM</t>
  </si>
  <si>
    <t>OLD BALM</t>
  </si>
  <si>
    <t>CUSTOMER</t>
  </si>
  <si>
    <t>ANIL</t>
  </si>
  <si>
    <t>VIJAY</t>
  </si>
  <si>
    <t>VIKAS</t>
  </si>
  <si>
    <t>SURAJ</t>
  </si>
  <si>
    <t>KIRAN</t>
  </si>
  <si>
    <t>LATA</t>
  </si>
  <si>
    <t>SIMRAN</t>
  </si>
  <si>
    <t>ANVI</t>
  </si>
  <si>
    <t>RAJESH</t>
  </si>
  <si>
    <t>Mumbai</t>
  </si>
  <si>
    <t>Pune</t>
  </si>
  <si>
    <t>aKASH</t>
  </si>
  <si>
    <t>Salesman ID</t>
  </si>
  <si>
    <t>Product</t>
  </si>
  <si>
    <t>Sales</t>
  </si>
  <si>
    <t>Shaktimaan</t>
  </si>
  <si>
    <t>Iodex</t>
  </si>
  <si>
    <t>South City</t>
  </si>
  <si>
    <t>Ironman</t>
  </si>
  <si>
    <t>Tigerbalm</t>
  </si>
  <si>
    <t>North City</t>
  </si>
  <si>
    <t>Superman</t>
  </si>
  <si>
    <t>Toothpaste</t>
  </si>
  <si>
    <t>West City</t>
  </si>
  <si>
    <t>Thor</t>
  </si>
  <si>
    <t>Toothbrush</t>
  </si>
  <si>
    <t>Batman</t>
  </si>
  <si>
    <t>Spiderman</t>
  </si>
  <si>
    <t>Antman</t>
  </si>
  <si>
    <t>Hitman</t>
  </si>
  <si>
    <t>Zandubalm</t>
  </si>
  <si>
    <t>Ratman</t>
  </si>
  <si>
    <t>Netman</t>
  </si>
  <si>
    <t>Aniket</t>
  </si>
  <si>
    <t>Sushma</t>
  </si>
  <si>
    <t>Kale</t>
  </si>
  <si>
    <t>Sanket</t>
  </si>
  <si>
    <t>Position</t>
  </si>
  <si>
    <t>Name</t>
  </si>
  <si>
    <t>Ravi Shinde</t>
  </si>
  <si>
    <t>First to Last and VC</t>
  </si>
  <si>
    <t>Wild Card Match</t>
  </si>
  <si>
    <t>Ramesh</t>
  </si>
  <si>
    <t>Akash</t>
  </si>
  <si>
    <t>Ganesh</t>
  </si>
  <si>
    <t>Next Larger Item</t>
  </si>
  <si>
    <t>Next Smaller Item</t>
  </si>
  <si>
    <t>Exact Match</t>
  </si>
  <si>
    <t>Uttar Pradesh</t>
  </si>
  <si>
    <t>Kerala</t>
  </si>
  <si>
    <t>Madhya pradesh</t>
  </si>
  <si>
    <t>Maharashtra</t>
  </si>
  <si>
    <t>State</t>
  </si>
  <si>
    <t>PAKISTAN</t>
  </si>
  <si>
    <t>SRI LANKA</t>
  </si>
  <si>
    <t>BANGLADESH</t>
  </si>
  <si>
    <t>INDIA</t>
  </si>
  <si>
    <t>Country</t>
  </si>
  <si>
    <t xml:space="preserve">Text Join and Concat </t>
  </si>
  <si>
    <t>Switch Formula</t>
  </si>
  <si>
    <t>IFS Formula</t>
  </si>
  <si>
    <t>MaxIFS and MinIFS</t>
  </si>
  <si>
    <t>Filter Formula</t>
  </si>
  <si>
    <t>Sort Formula</t>
  </si>
  <si>
    <t>Unique Formula</t>
  </si>
  <si>
    <t>Xlookup</t>
  </si>
  <si>
    <t>Xmatch</t>
  </si>
  <si>
    <t>Sequence and Randarray</t>
  </si>
  <si>
    <t>Analyze Data</t>
  </si>
  <si>
    <t>Map Chart</t>
  </si>
  <si>
    <t>Topics of Office 365 Excel</t>
  </si>
  <si>
    <t>Kale Vinod</t>
  </si>
  <si>
    <t>Top 1 'Product' by cell count of 'Product'</t>
  </si>
  <si>
    <t>Count of Product</t>
  </si>
  <si>
    <t>Row Labels</t>
  </si>
  <si>
    <t>Grand Total</t>
  </si>
  <si>
    <t>Total 'Sales' by 'Zone'</t>
  </si>
  <si>
    <t>Sum of Sales</t>
  </si>
  <si>
    <t>QTY</t>
  </si>
  <si>
    <t>Total 'Sales' by 'Zone' where total 'Sales' is greater than 120</t>
  </si>
  <si>
    <t>CHINA</t>
  </si>
  <si>
    <t>Goa</t>
  </si>
  <si>
    <t xml:space="preserve">OR </t>
  </si>
  <si>
    <t>DOWNLOAD OUR APP FROM PLAYSTORE " LEARN MORE "OR CLICK HERE TO DOWNLOAD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</si>
</sst>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haroni"/>
      <charset val="177"/>
    </font>
    <font>
      <b/>
      <sz val="11"/>
      <color rgb="FFFFFFFF"/>
      <name val="Calibri"/>
      <family val="2"/>
      <scheme val="minor"/>
    </font>
    <font>
      <sz val="11"/>
      <color theme="1"/>
      <name val="Abadi"/>
      <family val="2"/>
    </font>
    <font>
      <sz val="11"/>
      <color theme="0"/>
      <name val="Abadi"/>
      <family val="2"/>
    </font>
    <font>
      <sz val="11"/>
      <color rgb="FFFFFFFF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4"/>
      <color rgb="FFFF0000"/>
      <name val="Aharoni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4" fillId="0" borderId="0" xfId="0" applyFont="1"/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4" borderId="2" xfId="0" applyFont="1" applyFill="1" applyBorder="1"/>
    <xf numFmtId="0" fontId="4" fillId="0" borderId="2" xfId="0" applyFont="1" applyBorder="1"/>
    <xf numFmtId="0" fontId="6" fillId="4" borderId="1" xfId="0" applyFont="1" applyFill="1" applyBorder="1"/>
    <xf numFmtId="0" fontId="0" fillId="0" borderId="1" xfId="0" applyBorder="1"/>
    <xf numFmtId="0" fontId="4" fillId="0" borderId="3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9" fillId="9" borderId="1" xfId="0" applyFont="1" applyFill="1" applyBorder="1"/>
    <xf numFmtId="0" fontId="9" fillId="8" borderId="1" xfId="0" applyFont="1" applyFill="1" applyBorder="1"/>
    <xf numFmtId="0" fontId="9" fillId="9" borderId="0" xfId="0" applyFont="1" applyFill="1"/>
    <xf numFmtId="0" fontId="9" fillId="0" borderId="0" xfId="0" applyFont="1" applyFill="1"/>
    <xf numFmtId="0" fontId="6" fillId="9" borderId="0" xfId="0" applyFont="1" applyFill="1"/>
    <xf numFmtId="0" fontId="0" fillId="0" borderId="0" xfId="0" applyAlignment="1">
      <alignment horizontal="left"/>
    </xf>
    <xf numFmtId="0" fontId="10" fillId="0" borderId="0" xfId="0" applyFont="1" applyAlignment="1">
      <alignment horizontal="left" vertical="center"/>
    </xf>
    <xf numFmtId="0" fontId="0" fillId="0" borderId="0" xfId="0" applyNumberFormat="1"/>
    <xf numFmtId="0" fontId="0" fillId="0" borderId="0" xfId="0" pivotButton="1"/>
    <xf numFmtId="0" fontId="12" fillId="0" borderId="0" xfId="1" applyFont="1" applyFill="1" applyAlignment="1">
      <alignment horizontal="center" vertical="top" wrapText="1"/>
    </xf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NEW OFFICE 365 FORMULAS.xlsx]Suggestion2!PivotTable2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 by 'Zone'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Suggestion2!$D$4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Suggestion2!$C$5:$C$8</c:f>
              <c:strCache>
                <c:ptCount val="3"/>
                <c:pt idx="0">
                  <c:v>South City</c:v>
                </c:pt>
                <c:pt idx="1">
                  <c:v>North City</c:v>
                </c:pt>
                <c:pt idx="2">
                  <c:v>West City</c:v>
                </c:pt>
              </c:strCache>
            </c:strRef>
          </c:cat>
          <c:val>
            <c:numRef>
              <c:f>Suggestion2!$D$5:$D$8</c:f>
              <c:numCache>
                <c:formatCode>General</c:formatCode>
                <c:ptCount val="3"/>
                <c:pt idx="0">
                  <c:v>261</c:v>
                </c:pt>
                <c:pt idx="1">
                  <c:v>228</c:v>
                </c:pt>
                <c:pt idx="2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3-4C3B-ADC3-6014C6572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88905151"/>
        <c:axId val="988912223"/>
      </c:barChart>
      <c:catAx>
        <c:axId val="98890515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912223"/>
        <c:crosses val="autoZero"/>
        <c:auto val="1"/>
        <c:lblAlgn val="ctr"/>
        <c:lblOffset val="100"/>
        <c:noMultiLvlLbl val="0"/>
      </c:catAx>
      <c:valAx>
        <c:axId val="98891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90515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NEW OFFICE 365 FORMULAS.xlsx]Suggestion3!PivotTable3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 by 'Zone' where 'Sales' is greater than 120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Suggestion3!$D$4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Suggestion3!$C$5:$C$8</c:f>
              <c:strCache>
                <c:ptCount val="3"/>
                <c:pt idx="0">
                  <c:v>South City</c:v>
                </c:pt>
                <c:pt idx="1">
                  <c:v>North City</c:v>
                </c:pt>
                <c:pt idx="2">
                  <c:v>West City</c:v>
                </c:pt>
              </c:strCache>
            </c:strRef>
          </c:cat>
          <c:val>
            <c:numRef>
              <c:f>Suggestion3!$D$5:$D$8</c:f>
              <c:numCache>
                <c:formatCode>General</c:formatCode>
                <c:ptCount val="3"/>
                <c:pt idx="0">
                  <c:v>261</c:v>
                </c:pt>
                <c:pt idx="1">
                  <c:v>228</c:v>
                </c:pt>
                <c:pt idx="2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5-49DD-825D-22A35985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469221072"/>
        <c:axId val="1469213168"/>
      </c:barChart>
      <c:catAx>
        <c:axId val="146922107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213168"/>
        <c:crosses val="autoZero"/>
        <c:auto val="1"/>
        <c:lblAlgn val="ctr"/>
        <c:lblOffset val="100"/>
        <c:noMultiLvlLbl val="0"/>
      </c:catAx>
      <c:valAx>
        <c:axId val="146921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22107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  <cx:nf>_xlchart.v5.1</cx:nf>
      </cx:strDim>
      <cx:numDim type="colorVal">
        <cx:f>_xlchart.v5.2</cx:f>
        <cx:nf>_xlchart.v5.3</cx:nf>
      </cx:numDim>
    </cx:data>
  </cx:chartData>
  <cx:chart>
    <cx:title pos="t" align="ctr" overlay="0"/>
    <cx:plotArea>
      <cx:plotAreaRegion>
        <cx:series layoutId="regionMap" uniqueId="{780174EF-CA2B-40B9-BA4D-BAA05ABCE501}">
          <cx:dataId val="0"/>
          <cx:layoutPr>
            <cx:geography cultureLanguage="en-US" cultureRegion="US" attribution="Powered by Bing">
              <cx:geoCache provider="{E9337A44-BEBE-4D9F-B70C-5C5E7DAFC167}">
                <cx:binary>1HxZk9w2su5fcej5UsZKghPjE3FYC6tXdbcka3lhtKUWN5AEQYIk+OtPlu1xdGOaxTkVEyfmPlmu
6koAmfllJnLB379Nf/smnx71T1Ml6+5v36Zf3mR9r/7288/dt+ypeuzeVvk33XTNj/7tt6b6ufnx
I//29PN3/TjmdfozQZj9/C171P3T9Oa//g7U0qfmuvn22OdNfW+etH146ozsuxPfvfrVT4/fq7ze
5l2v8289/uXNzeP3zD7+pPTj96cue/PTU93nvf1g1dMvb1787ZuffnYp/tPqP0nYYG++w28Jfcup
QAhh5AuMOaFvfpJNnf75dSDeEiGEzzDlASNYiH8sfftYwc//3Nbd+rZ+39Tj9+/6qevgdL//959/
/+Io8PXdm5++Nabuj4xMgae/vLmov+ePb37Ku2bzxxeb5niOi9vfD/7zSxH819+dD4AVzifPpOTy
be2rV4QEqvDYZb2GHf67JITDt4wT7HMfUZ8GfshfSsh/i5FAhPEwwH4Q+uE/lv6HhP6lPS2J59mP
Xdkc/qNl87raPBfKi7/438KGvKUchyEFqQQhRth/KZTwLfWJCHwREiRCwdhLofypxMu7eV0cf/7s
xcb/sxHxse/BuP4L5uF/abX8tyGhlAUsoJgxTvEL9gv0lvs+DolPAC4UE4DMH7z+AxP/8q5eF4Pz
cwcXH///sllXT/pR/jvNFQJzhYjPQooCwlEIHuO5Q/HfMkAM2CqKQX5g1V6KZn07r8vkH79zhHF1
/R9tpF7sFrx83Pw7JcHBCFFCfUYCkAUm4BmeS4K9RZwEiIo/PHvggGRlL6+L4fcfvTgVHOq//29l
sOzg/wqEto/94+73COqZjz/97e/nhejO+ekLN//CMP9Dry++//IGYwir/orLjiRe2KMX7uCvv396
7Ppf3oQBAAZDZMZwwARiR/8+Ph2/8SE2Q5SFQjBEKfwTjGDd6D775Q3lbznCIfgmzmj4h33sGnP8
yn8b+Ag+FAEJGPbDkPwVuN410qZN/Rcf/vz/n2pT3TV53Xfw6zc/qT/+6rhNj+CjCRY+h+Opb48P
EBPDH+H/J33c+qHw5QEHF4jsA3+MeedFmOHoGSNeWQCU8NUFyMsFsMkbXKSBPKgwLuYiGrrrUYYr
xMELv0ocGPd89wlr86AtgLipmw0fx03v19vz9o1ekh5UjrFu8HjoMlTHJMvUFZJdsAl5yeLTSyzs
noFCPN99atq8aFgwHYjJi21m5zJiSVqddwAG5vs5dSNslhtcjoee1P09NRX/UjDpXQmTTBAR/qXk
/7psWfByCQ/LvEj9Yjy0DNvbcibaxrb0+bxjxTx8Pr3IEpeOmvtMQ23XdbPtJSySNb3cs7zIpk3K
kFo7xdICR819toDStQiQT+1h7OtQRs1Q5x/yzC/T85T0GEI+px+SfPA7OQW7nmcyi+bZ2k8Z8ac/
LkJ/3INeEcKR2a8gmDkILgKvtONUBzvd1TK97GTBcRQg3X0d9DyFUY3HRG963AfZ5rREFiDNHEiH
1VwKUyb+rtIDLt4RiVq7yehxXSp5oC9OL7MkFwfcnY9AtdLa32VWDSxS+SxMlM2k+Xqa/hLjHIQH
YYtUEVp/Z7BiN37oBeKh92psr63o6yn2gtnXUWVb9XB6wYUDUQfvSiA1BMcFBxkG02WTmcRsWGey
fHd6gQVjTh3Ii3weUW8o3wlpm+Jjkme0HyIUlgnfatoK60es43J6f3o5fOTUK6pHHfyroOpK3lm+
M2k6tBtBREyrSW8GG0rvizH+VGwtGycSGRt416REgsqNlwpSQbh3ygItndgxDjK11SD5yHejIHxD
dfMjG+xFiwa5Haf05vQiS3JzDEQDYB2F7fnO2i74nGod7CxFcsWILh3BMQ9SFLnfUc13Jc3zJwQp
rOuuY0GE4MraRKyv7f70MRb0nTqGgvmFpkXGj7wqsoha9I3wPtikflht5pCoiAbKXzFKSyxzTISW
Y6EUafmub7x53mmsi3SreEjT7enDLC3gGAcypVhYWfg7H6VyisqyrNLNxKs8OXMBxzqQwnp10ykv
rhsb+Hd9I2bvfeAxlK5Y0QVxHIP6526hE8igceIAmSBh8ZhnvYy8ISttVBWt3njjlB2yYqYryy0w
jDi2IWxKJg2xSdx4Yq72o8Zq2E151QzxaYkseAXiGAPKmkSMygvivjekP9R+U6PdXGM57VTej2ve
emkZB/FtM7QJnSoRK1LOH0pts3et6vVdVzTZu/NO4uB9LCeBR8TDmHhTvmO4zcqrcBTgHkouyulM
gRwF9SzsyESqShEoEWvJ7IVXzehdmGItz4s6jung5+SbJLcIOOTHJmjJFKFiYl/8uVG783jkANwM
QRMI5PvxIEEMUzl2O/CltYxybNSZHHIwbnJaW2kLEbNuKPOdtGLyog7ZfF7h0ZIuORgvQ4+34XQU
QatpuG8zU6BdLpTpL0tP1u15vMIO0gNiaYe9yY8TW803JJzb286G9MYOXK7Y2wVjgh10V+Ew8sKk
AD6GK7PlqT+qe91pr7yi7Ryiy97LwuAebo3UPy88ww7eAwssQ4gH8aBBTHHGLe639SQ9uuIYl87k
IN2mRYqqEcTPq0EFe2SMN15LQoZh26RBjm9LPgToWuAeT19Oa/VRIq8ENNhBvpzSJGjmMYnhtp3h
2yZlc/etI3Omdt6sG/++LIhMwfTIrL9GBVHks4X8Gb8/vfyCjcaOSbCJDzFo6SVxFXhmmzFJNqMf
qO1p6kvh2jGV8dwk8KGf8pa0YUwRHGY342TodyItpI3Tzpr0k/LYWB3YLGp+O0Gmor4hgRDFZ1ES
zlcwtxDuYMdwSE19bKciiBnNxzi1Y7HTQtYPnmjmeKoSsxLdL/HSMR4tTevC84Iw5nJExcZgUc2R
ybXtzlRPx3h0eWs5mbSIezsm5IIFPSG/tooye6hzo6qIzL5Kv6lq7siKQVywV8gxJHSsJYhC+7Ev
kspEMxQ0VDSXafs0WAD8ioSWVnFsyczmsjU+BLlZKsud31fZVmk0bQveipWDLAgHObbDT0JUF+00
x51J+5jk/rCVigcrge4Sdcdw+Bhl3gRmLy5IXm1Ij4ttYhuyYs2XqDs2Am4DjcA5KCvp2jpCGf5U
p0yfyZjjos+CAuyrmk0yneM88Ob7cagJ3Q6px9aCzqXNOyYgK0yvqLZz7CVVeOEh2u4hymVnssbB
NlUDV30J1PuEsA2rBhFZVCYrerlkv5ADaVGTWQwByBWX3ZaO5kC96aaq0s8sLN9Pwou90t8HatqQ
Klhxcgs+CDkgL5Cn0Zh0IGxVfEFe7kWpmWwkmWqjZE7bTdjLlaVehx0PHXDXCc/mGXtjPHr8qc14
OexZX6o67sfAX2Hh6+Lnx5LOc/WiQzDURZmMMQWAP4R9U+wwa8qVuPlI5Z+9J5SxX1LvazB+4wwZ
ZMzadgcA/OqV5fWoWBFRlnzuGmmiMClWlO110fDQQTnuK5mIuTBxx7kXNZrybTqTQ6lMtU0aTSI1
yZWDLbHNgTw4zaQsMe3jtikSvNGcdJsgm8pse9ozL9E/fv4M9RVHgfYs5FFCv2ivkMHkCokhjE9T
f93jwh37JfXGS0M2JO28M214r1L9qR77j/nkXdsSn2W2OJQiXhwA0pvegE3R77VJx+59gtMyvVam
lk+nj3DEwGua5SC/xPnQpgOZdink9wPU9Bsd6K0N200zNdsB5fvSpiiSSXBe0paHDvB54ZVMiGTY
tTKDtGZnSNSGoVnB4YJIhIN1qgpGkkIMO1V7X9KpzqAsEr5TXXHZK16cJ5Rjx89zrSrVrD2v8/88
AiMtifjgrx1hQWeFA3bKRWJEhoddOIYoIkfq3fkMcsBdokElsgPq7dylEVf2LoXclBGliXyfFCti
WDqDg+uMcdEggiAPwshTQ2uxS5g3n8l+B9QlNKqJPAXiohPVbmaZ3aWjn12eRsSC9RMOqKceskbS
lrB1og8s1O+nnlVRx+b9oNinLkDlCo+WFnKgXWWK1A1FZgf5/Xjs0G1Rtnd8Kn7LKD34ebWSY11w
7lw4EO9m3asmG80uzfGeJtO1KMODJ9uNX3qHVKNdNrD7KufbNmFnHs3BOEq4pjbz+t1kLEQrRSwK
lkTdlD+yEr8Pwml/WlYLahY4aG+7cCrgSmB2hR9mkV/kMjKaBCunWKLuwBySFknr5Um/q4oQkiS5
zOKO4GDFeSxRd2A+GUZqFoQmnqEa2kXeXJVyM09ZEGxPM2dBvwIH6aSdwsqodIh5adVDqLm/V5UA
MbAZR0iH/KayojrzNA7gcZ4Q3UyVidOkk5dh0eFtVxZ2d/ooRyqveKngyMNnbtzoRNHUchP3If3a
edPV1FV5VAtvhVVL9F3Md7aorPX6OM+8WzC4X2iS3pequj+9/QWnFDhID/O8CnAd9DHUCqsoG8Gh
Dk32MIj0MiwLuqKuS4dwcF6XnadDYUysc37TatREFRne9f706fQplug7oIbuilF1cBnYEZ3v6i55
n1v8ifDq6jT5JTt17OJ4LmSRj6kH0YGNWTKjmE5QWy2Tso9m3Mhd2hR5HCSabpjum5spn9MtM7pa
4d2ChHwH6kPKTVYC5VhCHHprray31RiSg2dFsFdCmovTh1xaxwG9aSVBMmlMDMX2d2VVDhEjcFZF
/Mhvwx/nLXJc/BlaEpG3wZBrE4+DUhHW87uqUnkUEHUns/w8J+wfteTZImHts1x5VR8LXDz5hueX
YHCCu9MnWFA138E76Umvoe0brMkw3uIufUfn4UqZ6eE88g7cZ9aERZKVJkZaNRFpml0yNl9lK87c
voN3NrJpzCnQF954V9bJfiyaS0zYSoSypEQO0JsxSdKepj14Pe9+QO0UGTHBlbbJIYdP6xVILLgP
34E7xkoFs0c8CBSHq75iUTo0H5MAb9O2vTWkXQlPFkTNHdR7Gdw+dAO8Kg3Ecsm8I7TbJ1W2Oy3q
o8a84jm4A2ymRksnqBHsmnk46JFcMb4ihaWNO1BWlvd+o+CWTHF/obrmUIU9BKNmxRwubdwBcS77
KTMGNk6a90hBBTZ8Oo8jx/M8A64MC63mEuSKG/FIkva2DIPDeaQd2Jp2KCc7+n1suwJ/gN4iEheG
dtvT1BcU0m2oE9D8VyAZ9jFO3pUZi6Fn6UoQFQcI3ZOOnKf23MFuSvrUUwx5O7DH9zPGGw/5j203
11GK2kh58kzFdEAMWt+2EkFMwOdRbaBY1m7YEIwr1vn3WtFreu+gV3RD0DM+eLtpL+LpIvvMWASX
4fSr7iP7btjVu8bbynv9MWm2aym9BUS4XXdZmrWszWwfZ21606P8K0876Prykt9OK8ASfQfLI5Th
rK2Tboczdcih3LFNvOIhz4Rdkf3SAg6ktTEIqpOwgJD8Tqj6N+h6uBF+eJ5bYA6koQnVolaE3U5X
9G4i5W+SyJsu4CvkFywGO57qGbDxmAeUTriPw5GyW7/hHXQPTv4K+hacjttrl3VskBCBezs6mz6q
jPktmJtNWHsfcU67MwXgOOYpNGwsQzAgAUFjvkElNAdtudCz3Kq26daivSU5OxhXY8USKJT1ccrU
ozcOn0befEaJXAn3l8g70B4oRdqnwKqa5VB+ObpkT0I4Ts3cr0hjaQkH3jobAigzTHCjINm1noOv
RT7eJLX4eBppC6rk9tMVVYBYkNEuti290YWX73Im8vg08YW9u710JtXQc20GuGxxu2VIXwhf7OQ4
rzSuLe3dBTH3apvSqosJ4WRDNP0aTrg9T0GpA2Gb4QJyTn0XMztcZZJeNmPzrh2qFQgvgIweWfYM
wgTqqdDF7um4HJOHTPiXskAfGtj+pj2mmU/zf2mRI+OeLdLwsQ4HBou0YU43SagOQqRf/Kb67tXl
/vQav1e+X/E/bkucUaQrMzzq2MdNXHXQLcsxsRGr+Hc64ut2SMJtnWYXUAUqNyP0gG9zpN4zr2/j
KkFrl5QlVXOAPnrQi9cyA+LKyLuu5w8eCz50If319CmXyDtA70faZcpvujjxaJwSfjMpdYGqtczd
QsBDHZAPiSj9QjIdj32+C8hEN0PS3adUm4iI/KbjesWaLEDGbZjLZ5Z0eiq7OMzUpmT2thJnRslu
c9zoaSKhx0THWTVwE+nAL25aX03RWBDIDZ4lB7dBjpf1VJcNB0bZ/s4DIysz9slT5YfT5JfYcwTS
M8BM0Dkqfcg9gEUZukNlUb+Bzk66wvwFJToO4j2nnpKMQyxDdCwZ/jQWxQNMlOyYp1Z0dGnzx8+f
bT6bWlVqlHUxJzkbd6Rswn6TQq26XNn/kQuvIN1th2NZmgojpI7nybvPK/JBtupuqpt4qs3utACW
WOTAWOa8hYwALNElw00r0pvGTIc+r1euLUvkHRhLYZOqHayONQ2+oUFAzC9If4/TMV/xSUsrOEgm
wYD4kIOCmtF2USvxVdoqGUGT/HlHcBvhqinx+qnL4Ags1REM3r5LMvQu0+H3syTgdsH1mhnDQpAA
GNSrwZKrMqtjkZDzdMjteAvHVJqiTXVcl/mv0J790Gr13h/Sd6pdK0ksqOlxGvk5DqCbADptSKlj
BGVAXkq4trfXk6iuRy3OU1O3xw3Srn3ij14bd7745Kf+tYUeA1m2n8+TgYPkZGJVmaoCXCrwKgrb
dIxSLtKNYd15dtRtY+tp0XpFE7ZxGU4fp2m+16S8N1748fQBjht9xVK4DWoIweWw5qiNhZB+HmVF
C0ibmur9afK/03mNvoPjoghhNqqwsP1WfZyD6k6L9ib3ut9o64071Pgf84CYTd1SHhVlYCLI2OBI
tsWZ53NQPhTcTypB23gONdngjt0OY7rWUbvAPLdDzXi1aPjUtHHK56zPooC2jXoS4VCu5LNeX4Ad
31B4DhDV91kRUN7ECeIbyHOgrZa+vwKNJeLHz595IW09KEJKIC6avo/Sml+U9Zk9JMhJCzDboBAq
/W1sVderGOO27aIEJhjXqk+vbx5aRl5u3pbGCF0lKuY8Rem2nAJlIhMGo165VSxpLnKME64IYmPo
qbgZ28NMzQHyrteznQ+28q6QLg9Bq7dzUW3LEC7fTY6+tP5a2WghykSO3INgmgQakIppqT8WZtgk
faAi5Hd6M5X2k0zXMghHgq/AEzk60MNErO1oDQm7ea6fhnmyl3gm5WNpp3qtuWRpDTeBkGtfj9OR
kVnRRL2vt6okD5PE5/UrITcSIc1YeYFRMYw2qoPtULcfZZOtePElRXMM2EAHapUcVVwkfP6EmiQ9
wGixWms4WCLv2CcK3oMTC5IO66Tt9oERlEU8afy12/HrPpa5jXZQ9S2bWg0qFkFdxB2karUWH5u6
fuQpOy9ehtnul2gMyoq0fq9BjVj/Pk+7+6yfP4Wii097kdeZxNxWuzSxI5UybeOgDr/WzYijjLE1
rC0Rd3DeVjYQnqkUDBN4+qvnY3JhympYU59jzeSfEQbt8S9Z0+YTtIkK0sRFYXPvYxrMuK2iotEJ
ffCRofrKyxIfbUwSCHvXBUmgLlp4IkRtMDNcXJiWlLjcsDAZbQxTNHTcjqMt9OMk/KrY1pAOBz9a
9nVxUY1Jqi/TCcbPYm+G4bc72pVQmA0p8YevqC/L/H2YNLw/+LwLxDZvfWT34xTifAez8l39ZQoY
S+565nvFbyj1S/Nd1kEGib6yb6tbHzIIONJ5Edirnvb1uBuVniz0S+OQP4RTRSy0Hiet3uOaWnOA
LO2cHsZwqGro8Vc+uhjrpAgvmoCGyYOZpgxfoTZBCeQgDBX1mX7NsQfVxAzsnDaxB6XxqBlryFba
5qxwjIWOOYDOTgvRo1Sx9Iuvw1S/C3F6mQT559Oa/rqtZG4j3gAVpkkS2Ds3CYBVXgZNGM8i3J5F
3u3E4wO0AOGqUDEJwylKvLCMpqn4Do8urNjihf27XXgapdQvoUwJmZeiiBqwBHT0vsIs5ofzDuC4
/QImiocaWiLjAqEQOqA9uYdhu/zQ0L5aQ+zrgBWOPcj8HJma+F0cQBXoYg4EhsuhZg+nD/C6Z2fi
yLjnQVeVDsOgBgi6Jl1soIG4uIKIeN61kyYXlubttcHorDIuE0eL92ytts57mO8JgVkwBR3xsv1V
1y2ObGJWDrMkbce2oVzD+x9CNbHuW55uQ8ubCwJNyl8gfbL6oMDSIg6ccZ3j2aOgs35a8WmXebl6
UiabvgceHGkFGEeWvGKl3X68vmrHxMt6EAuTP6CH+5J7XbtiMhY8sHBcvDKjHlobNHCRbvwPtarM
53L2mu8Vs+MX29Dmx1mq5TbeDbyd6WCg+CrbcBYRTfMAioueT67bcqZtNOQet9EEeHk8veAC0wLH
64+qlhhNKXh90Xw1jRnjPM9XHefrEgkcpKtgTIo5hdsJtb3ehAb7cAEa0XkRhduHNyIYbuc5JMTq
RsrLTNTlVV926NfzGOOAvCvqtEyaBqx4bYLLrKboK9yB7Qqsl9h+/PwZrIOpaueqg4iuTKS8MLUo
oNzer3UoLmhr4GCaUGnC/OjgRCUumVS3EAt9pbn91fTVWq1v6QQupDWezAR359izNX3KYLDhaa5M
1a8Abom846Phsci6yIoS7oZ+MHgXZVjjDUrGka+0geAjoVesReAgGkaNk8SXoo6hoasv7/LaWrFJ
gpqo7dg13oe0q249EQxkP3SdxXsv7I8tElVLNNgvzpsVTVgwjW47UFewumE1rmJdpbfBMF8lPokz
s5YhXeCj2waUTlCn8XVTx2HhsQNNsvwglTrzzuB2AY2ln4uhpFXMmi6PLZv1h6ZgwyELTL32dsvC
Cdz2RR1QCLELCL5H22Zi41UFZGKrrFZyfxbS3R5FH9EZrj5g2xOqi+q6nDoBqaap7deKyksncMzg
jIyGeXBSx5TiHKK1sRgZJMrYsPao1JIOHe3AM2vid3OlawILdGn+uevLQzabTzDh8u08BjmmUPaV
7UMz1zE8PNRtppT+mHu+tvcl5hw/f7b3tJ1x15VBFQ+I7SUpLwnpVgLZBTPoO2aw8jyUjvAwTjyP
0B4MLzrEdUbu/Sy98VLy8TzeOGawz6ROMUw9xiEXFF5eGMYICvH1ihVcEqxjBccA3qWtQbZxbpv5
OkV42s59WHxgIiMr2r+wBHeUk4UTDNjXqIJQuS6gX0ocEkzet3Y+j0HHRxefy1erOk2TMAcGsWy8
Fn2ItuCNyN1p9i/t/vj5M+0Jx9IOI4YYoKAZjDSHnPH5IusLZrej9Jrgx3nLOEpaeXnXDmFexUSa
B9ngrenRQ4qT3WnyCxhwO/Bo6psynT0QM0W8iyw8fwbpdD3zZEWPlryd230HT5D0AukUohnZbYUX
HnA93LWs2qGs2bTNtG84u7E0+YGaNoLp5pWDLYnH0d+6EMIroeFy180UH2jZp/vBeup9nfH6TP11
/LjMa2wQ6WScm0TtcZfLWFWUx33Oxfa0eBZO4fbfqdmrUFLVMh5m+a1p5RXxoCXYJvNKhWCJvhOD
GwsvJhkLG4fQX2QbmItXX/OA63ezDJshOu8QDs7h+aEkgVdnZDzr4Dcuy4smy96rwq7EUwsq7Pbg
sQFBvR0GXGFMu0mKSLc0+xCYfq3d4bjLV6I1twcvJ11dZ8lRBLRIYEBBtZc26z8XI212svT8KKkr
tqJRR8v02loO2BtSmGnWcBSs8U2RozwylYaRPgwPTsFjOmtXyiWOOd4p9OfA8g4Cfzz22G5zAw2y
kfBJ263MRCypleOaxDAmCoJoOEfm2y0uKXvXKaI3c4bVmVJ38G39HNL2Y+ttU5xOzWUBT73fEqL4
2ljH8T3RV2XhoNtnlEy+b0CtYBSignnTFnF4ZgQeLYVpFsyHfTappttCkR6VcaETAcNXhciaT5jD
dJySqdpUAfMegnQSUFay0D7Y74Is9ORn1RA87kc1Zu3G8GL6RivGrgZV9Jc2zwaY6DNjFM5hlmcR
qnI2f8gwzDPd6ySb7bsMQdfsbaEyb97Sysu6G9pQHW4oSZrh22nILmiIW/e22TSlVcqznewNTGWZ
Gm1myR9OE1/QDrcVkc9+S44T/Ls0wcXtEJbh9egX1WFkqPh03hKOXcu8gg7zMJRxX/BfuwRtQbnv
S8+ep9/uW35wX4Yqnj+WMZ07FUnCLtq5/xy2azezBZvj9iTC4z1VOndTCRmRWhKYYLK634UWukG2
c9V682UAA+Tiogu94rx+Deb2KeI25D4beAlpb8/fsXKU+7St9r4PZf0ehrRWHM6ChaOOhcsge4ip
pmXcqjSH5z09sG7EXqq63vtjt1Z9XdIwx8BhlOam1KaMfWny99A1z96JLJ0epwJ7K3nepSUcE4eS
MEiJastdN9HS31o59eJHx9TcH/IRRidXzNwSvxwzB90aqRl8mcKkLxRg9oZPGPrsYGQhr2ZBNmJY
LTUtDOsxtzcxzSA1lGhZxqj6kYjP0Ki962f6QxV0O2l1UWKxgy6k216v5egWaltuj6I3KQxZj7qM
59o7ZDjbwrNDEerB1LR9NOFqR2S7n8SZSuH2LQY0KcUsg3ALbwAF/UUoO75vRAg9BX46SLSi4At6
8U+Ni0Dbz+FBmu3UGHU9NTnbtKap76TvrY22LhhnctSVZzcPeA6tzXMLVbog4P3ez3G6yT10ZtLD
bV4ccsjJUoOz2LdU7HVu800h0x+n7fLS1l34162HZFUl2yqRFyHrdpb0K4w/mvZXYie3aRFsI+qq
XibbVOtthkBpu2EDt6cITx9HnF2rNUguncFB/gwPOcOTHRALijk1l3kIg0UygBmc0xxa0h8H8AkP
4FFW6oXbycBrvqJWXUQ9xHfSy55Or7AEdOJENvDErU44vM8T17V+Inn7GeYZb+H1hXs90X3i+e+m
IRsimPp5qtSaVi3YMbebMfWD1Bvg6e5YWiL3Q5NMl7gFW9bRFG+gMiNWzPKCTXG7Gj07QU2p0jk8
rEmvNGU3yZBcj3TccUphulxdw7vkMwQ008r1dkEZ3DbHqUCt6WgTgtbV3rivj5Mu8LSjmLenhbVE
38F6Bq29rWR1CJVx/zod+N7y9stp0kusOi75zIwMMPQwN//D2ZU0R4pz219EBCAxaAskzkzPZZft
qo2iXAMCCSEGIcGvf8e9+tqv3Y7obUWFyUw03HvuGZoBe9FkT9xlZbC+5PP3ng0V0fGXdbNl23/G
I/noe7y7kXc4Xc3rYlpAqU1YLWKzf/ik2WdUug92zV8srP/5LgwMbprJhFU5Hfa4WCIx1sEQ/bEr
34NPduYHlC5U+n//wWi6R7Bia8RFtAVkvexl15MfWepBvwAzYTqLLQGdNoDpNixqdx+ye7dMw3jI
oIhdfojdTfRiQV06fYLff/SbvtvHPhgjOLIsby3QtDQnueq+rWHwb4L/trjfExR12y6IzxJZZdke
JOdc6s3X8PuGPPzfl+AHde57nt+0SLuv3NiDHeAaKfl61/L+RvLpdxK62o6faSc/OH3e0/1QKSXE
kB7PMXBz9hiRy67RxWyDY0+zTxjhHz3k3VY12UpnvuAhq3WyCProJt7b07ZHzyyaf/77D/bRM97W
//+scyosHFEsWPhdvNda73dzs74gb+Y3AIrXf3/EB6vqPadvkDmC0wgsUtZY9EUeBHCR8TSs/9tf
f3cONPkmQxqQ5TBAGVsMcmpuVEaWp3//6x8cA++5fBTwFYnScTks4ayLNuWgvS4sKkVOP9MfffTz
vDsE2slFA6a+y4HDbuCraSe4aKXh/pmFzAdVzHsPvT0RblzsCoPgCQvUzvBRD5PruM2P2tCjbvJn
kX2m2vvnr0Lec/uguyY7cnLmQ8uivk5CrUtgpp85EP7z3kb0yt+XKnEx2ZVc5sM4NIckSm4oAceZ
zeMfG0Eo1m2//v2df/Sct3//ny1h3ZjwJtvmA4/UlzZt7vpMXCoz3tJ5e3hT4nxy/H/0nHfbO5E2
DciIN+Oi6HbCcBaT0y/KBbLINK+29jPazUdv5d0WD3bTj1wReDtBRFQxCOlKHPKf+Zz98w5BSs7f
f60dmg/ertN8yEz82ip6D4+JP4NpPim/Pvrw77a36EU/DIbaQ8JEVgQxBWl+58Ph31/1P59+5L1z
nook2IwDupKBWysO22S3uBK2b/t6S2M11XQy8WcW7f9cHpH3VD2+Ek6jDl9FuenQDsklnOevgcO9
4Nav84H/ydf8ZPxnSoOPHvfuMjeCZ8uS4nFLO523cbliJLzU2+8k+Z6DAFdKkR9zkNb+0y/5nskn
Oxw0OSJoDrnxU7F0Ky6saVyLfInv5p5/MgX9YLG9p/MxmC4sfZJMh1Xate5FHhdtkKmrZovcf9uV
7531tp6k6T7hDUVoiQvw7X/utLvqG3Hr0vU1GofPHOo+2P7veX276Ok+APA5MKbGQgbm3Muwg1yn
uc0W9UeP6yd97AeL/D3FT2dbtmQ5N4dWrqIwNGmKbje6mNJ1KiYffrKXPtip79l9nFI1RV2Kxyyj
KFUjI8waOvtJ5fiXC/f/78bJe8s9G207t1MDAAHs3UxiZLmRWjaDK2EJfOUc5Nsy8M8J9Sfoim9Y
S8calqdTEY1JvSQ+/I/rI/77eccJHmUhVDmIcfmTkryFpZx5aMbo2sCmLx3/m7yevGcAolkA+L4x
VtMgKdga/ByUfvz3vfrPJQFia//+FWQUR1ySMavH1PYlHZ0umEv4kc+9vVyBQTyBmx1fyJ6L+t+f
+MHaeE8FjBRYhTvs5Oqde5WUcxQtw2UaKZ1/cjB89IB3tYGZc4vexbA6F/lhmMdChf+twCTviX/w
lBuXLcafXuP4Ym+XimVz9d9+lncVAEJOWi6yET/Lm/dW3kBO04/2M2vCDw7Lt2DC/61j4IMD1cM2
0MqDl59oeaUncxem2Wc78oNl9N5wL4HHlJiIppU2+e9YueTXlOb2bDlnX4Z5fSGu+2bNdJNO+3bh
xWqPo17kFwlroYPtRVj4bRiKSEFOpAi9JyyNi47Jz9wGPzj23hMHtYnGTtkhwxhAdy9qVBiQ7dEO
wls0ngFWTw///hI/es67A6ENpKG542ndm2A+QgS76d+xhR7k2PS7E9cLypXPpEt/Idn/cApm75qF
2e96tHpWh76AT2ctjwxnYGEvvCxZXS3Voy8uruhtd/DleGvO+RHn36F5NGVcyMr+N8Nh8p5vmCiy
egTDqYOkjz7dC/hkf7qo/joT/uErvufIQYcpNofXdZh8athWpiJAYVTJ2SbpVriFUuwVMUIPV4op
ZhktRotUEnxRzbwIy2kfsbYGZVLR1yZqOgln1pHP0XFWbTp+J8SBignooVtksU2Nmxw0JC2JLpHa
Zfl1n3dTkJ08bCBGENwSZ9RXCk3O8DhEevLFGiOLCPZFIRxKSdeHoykRVhS2Yx2pdONNtY2rQ+Qb
ZQPaH94OQeGzvDsTSZYSk3/zFUGiWaHUPn2bhp3+QUwCBN/ZPgbZJZzBe150aMD3gmkfDWe4k4mz
cWl4vWn2RqXZWo9WtGd9MF/ohNP2u8sjE5y17mhji2yY2jO4jOmF01Rd2FBMt/G8YbQnW3Dt91xI
5E30BN61Q7b1NcBb25Sdd02dBDstWtqelGD7i151w/H9Y0ZK1TrvK85JX6ZdmBe5DUuV0gOJWXuC
79V6kes5rkE7raRJfplpuxJQAJVR5q+JG+tkgKSAr+6iBzAszVKvExPlkp2GhuHcuwZB8RaWur9s
Y4p4pG2BJIdXErxCcHqdBz6qk8XKyzcCebmAtNDlS4hkNVi19QVPh6NnkOz6YJ1vomWhZU74cCPi
hl+Ai0wUwFkGCz+gD3uIhRNC7tt0qBsB7k3LxvAhZ1Nt+8hulk2FhcO9VFj4dhfDQH+SLT7N2j90
nU2LySXnflJXfKNl1pGbVag63PLrmK/fprX52on1N0kTBWNpU0GEJqEAdZCBBuI53ppHu8x3yY7X
MY6kyDHNOWglXoc9+RHp4Jky+jrv7FplbTls7tIi9EEE8VdHUjgk91sZhiI8ZKN4yeEtA/VwJePl
RrUyK+d+/Rm4bi6Q8XWg7Vhx+9DnDSq8ujGwSFoTyMA3cgzb+Umy6IG0pKJmyoptMF/IDs9X5q+T
+BnB6DXyFQ6+S650nIHgRNnX1alrFqovzd593zp/pbL8kJgVyRdjFfQSWPuJpKwOouhGid7Ah3q+
meHUI+apakR4GsLuCO+HQ2vzo4v8BYw9Lhuhi7GLLsdmuYVopqmGdjhY0ZwQ0le2sv2GpVjsit82
zfbMw7lCRlu5R9/Yxu7k6uvWm5I3phpoWwmwvvQGFznGbgz+rnEOR8EtHYbjsmOVSHMAU/jOzkFt
U3PTbG3RGn1AkM3BITkimllXTVbdNu10tOp3lv6MiXyCXuhCtzlUKijqZHKO+VymE32OW4EGFAFu
/cmw9iHO41NokODSoOtBSsFFTKeugnb5KiZhLZGRUyAktS3zyamr2SWisHH+ukVdna/DXZyHqgCn
+QfcpCuSNj/8ut3sb+EWfj2PWAMI8qwnJAYUfajd29Z6RN7TXdbFd5yPrz40UaG5dAW0jqi2Y9Yc
6GwI9EHLryQffyEo41YgUaceYd+tuzdNoQxuJ5ZCu2DmHiEBasfCsNWKjrfy6doWzQI7NhtQ+m2X
XD8goIyZQi9+5wdrY/1oO4xbCpBKsrslzulD5z3Li8xp+6CjdqsQE4olICdVLm13E278V7JNU6nh
zpGW+L92eFj7LbijkYXNcDsiMPeiCyLIQfpwhiZb5DK7aCkRz7RHzEcZJ2xAmIBQ2VikyejzJ+aQ
pVmApA/H7bajGY4AbvhS5GSxj3Rd9VPPGljCRhRHULXDfQx7X5j+MMMguELo134gkxqzhwkg/x2H
myw5bBzsmnMypOpHjinuS54BHxumidxQugTXsR9oyZ3qabWOvtH17O0UHPqIoaZJ9khe9EGy/Ig6
MGa7vAsuQYJipdhJ08Bfd5L3HYdTPm6yZngZtLBv+nNainXXV9y1ebn1vT6JGE+oYq9CfSJqtAlG
mjAJPaXdtrIrtpOAXueIQihsOpqbpWUEMQg2CJ87Ffn0cpmmyF6oxpqwjFWgSLGYwPyYvfA/OI/1
k8EhcsLVETzzDmPNwuGnAg0aF+jvTZk1qsbZsGvIwV5kz/AVMqTTHZZ5TLAj14DZSs05pJcgMJEz
jYak5ovVU92phdULwu2e2jjvvu1cDEGdQnDJ7/0kRIUDCx9lnofTkkXtA4ig4c+mgckDEpCEJ1dr
z8Y/TT+T8ICIJPttmphH3OiqmpcpSOmNbH38i8QrNXjnZDg2UbjdtHjj3yX4OC8DBXtgjmCxVUw9
PLDWYWGXagQguJM5PUipsgufd6rkIUqHu10rdjHLOLzraTp+gVuGftj6cTxSyybsaprmulyGFCAf
91N4xHvLT7toomKlff7crg0gGpZNuKLpvH+dwTfoznmcZqexG9sK0Tffp4jO+iA9adMvA5vab2/Z
YHHxFiD+cwliW8+WzfFpmRGqcGvh8esrtXa48jY6kGKgTI/Yk1Tdpn6YD0EUNPfCJe6lzzF3pnOY
PQ5L1J8xAkjqVmt3YRbR1vC+jo8sybYbnL/rj3QNphl5EK6r5LLkR9rgM20bSGFv8dglY3lwn2wQ
ImxpB5Zshh8ZJ1IQbCWuzfXr5CPdVUO3JStmQRkjV7tY+6TMdir/uDDq75Ju3uBKvopL7Vz2kpGm
LwMhohLcRVK6JNJ4yogLES2fyG1TTVkr1O9UYDgjShiBZ/DASEaXhLSMmhmgp/VrHpICBVn+MjFG
n1XLQ3E9IkG3gUbXpsmrhvdzWyGnL8rKPGyi9SR9GycHr+ewQ62yIyXk6CFv3g47pE5Bsa/e3CWg
z86FJ0MTXuZRAPpjOGbdAxGr9r9I36W0hjU5WGlChtiwmRGO/1FWaRcUodrV2MDrMbOrPWy9ARp5
whMAqB5YMKQ/e+VAO8IvGdIvS59iuC5TyeoU3jflNPB1RPUnFxeSEsrk3pSUJnGMqkqTL23Xxd8V
aR4SOPOUSzMGHL3lyB8QWrWuRUJ4egOPDcu+zwk4Qb6ABVsznhoOwuueigQ/IwKpNMiDTRNVIepY
dUk0mUxlcZR+0VPD2yvXyaRkfvdT3W/ebCVycMPgR4ovtF2HfcPiC4Zk+7grhzTgc14sMvTrTycD
MPXhRQmnFOPzfT2pENwq+BO6vB/Sco171l62ysrsfqCIlh0KMywW6eJrvF3j/Mm3Om67SB1c2wfs
PFqXBBUSEUn4RSH9aK1Cv1h2CZtilR/csoUv8Ojv1rKRxAHUV333o/FvzaDL4pxd0H7UQ9HCo2ov
Qh3r51CiPqm84Ag/7pXfk2qmifneh6iUwXTULbth8IjbKs1Nsl93E4K07poZhs6HpHeBqHMsQY/f
2zf+IPt8yyrhCFw0NIenbrUNuv0NwYLtjqaPuvEZ72WDVwsaDVuSVoS25NjmaxmODsZlTTijSovA
BwQlFTmJEqPNNeU19LPZXEILPJBLGi+5OmpIpGzVIdqO3rB9zF7VrHHkmK0Tw0GbNOiL1UCVXjuc
z8l5aqVcfozxHJqwaByJGFJwklT9bKcRTkIILuk3/QCJ87BdQ2Ex5+UYDwFFap6I2KmF9Hl6lHsI
i9o3r0/9aiM9TqeQ7QI/z9BfyIZy+RjmrRFfmIHE5C50ekdiG7c+WWg1B/ManZtx6sgvaSIlLrt0
JNuFSfs1OIbEu+1rRwmNv4HtS9mvyEl+Ew1rcAbjZ//JVARvAQctbhNSDgoTUqTdGRF3636Ehyd5
UcDpWNUjwyu915lX+03TmtEeW06H9C4Ow509dc02R8lbtGUWl0MWSZ8WXchmWbA+nddzhDjCAWe3
SdGpYchF2Y0eWnj8lIHZwrwSI5YUamTEydd7BtOAq27Y9vhB+HCakSif0/2gcdPmQRniqetlK2fG
K9ycXJQQksBAuwt6E53DN6H90XSd2Z6EYJ0pGw1Dg66Q22SyiymzWXiKw7cIpNWmOQpNlZNM7Mhn
QaTpT7729jEDwTstBV8Qy9RkMF0oYzKm/hL80gzegIvag8PW9vSxgdE9wVqjbL9QWpIMHWUTInsd
P7N9gudmgjuK9L0CIYnIHYNhBysT97gh0nri6HOWzOsi2o0DyOJS3iLfvuPqbRs5u5IE9YBHZjkU
PlbKL11o5wiBtGax08EG4xLaGkFDfPkRBkvc+WJxdJSXzs+NUIVHni07wicBIJuH/0Bzk+DUVF9Y
Y1167SjctO9nhdV9MvmMNmzg/RRUo4v5dkWQh3kHb89mfhyM4UC8N0xUCRyFcPn+FC3t08t9HfLw
Bp33xGtNg3g8j42lKkdHphbXFc6THGu8bVp1GxFIo08eJLnpenDp0kJYjFRIsI3YVoxuYtEpImxe
bpN5DPSPuPW5ukoVmdHca9Er8cu4aRquLMb5ClTordmfeBB1y72SfSJuIEPryAm2Jam6tlOM4N6D
tKFKQdwPCP+9IzTFo3WZVvu6IlEYOESXR7Q7i27Z3hZLT+KmADt7DQ+zgTdGsS6bjh90wPIziXsy
njC9XOPr0LTIAy6nKJC4ecENd9XYZ7CGQuaE+43us8e5iJTGxRQ9pMEEB2sbq58y7gd3T02O3Mom
b1X0kAAnD/9g44j4lAQUrd4y4Xx4bXIwTLsik4NsX1fQZgNcb2SU3pXzmNHpFAVruL/CDVgsJ27E
Et/q3c3RBTJO/F02LPo0A+5erwArpOI7WYeUP4dTQpbn0G9glJZNGlj86I40OyAFsxsYeBYijfYp
LEatg/42z5bd/woQPkhAlog0BGAVZ7pNVJm5xqaXLdfx9iqnzDTnheRg4wPEgxcp7KBEL2ut2ib/
DTCAR48xVo+vV5RA610YBXnwGM5xzs9jr7rpmrWJ3KtsFaG+V5Cfo00AaQtpGsWcgl+fX3c7dqsr
YJSp9mpw4e6TMp8ZCPg+4kF4Wvgc9gpTsjBHEHiebMuKphn5bagFCZAhemwSl+qjB+GTVqkQgax0
mBv+qlLj0M4SH/YjOtJRxKxAuII3oMOlSypBJupMdJlELV1vIx2C6bcbkbNHb3B41HkkxfIYkCHH
sstCVP28TUUHu9eE7MCNZDbvl0YNQ+CL3iWTwkwH7EH8h4TO0zWmffgsbxQ/2VyPiIg1jygbYgAr
tMtmdob7WLdgdK7fToJmAhyUlsg5TMlhCnlsSiRAWPncSQzu+ytt+bSxIsyx8J4MNhp5mrppIwZ8
SNwMpMwUGcJn+A9tilTNkiUxisl0VZAbhKFhQAjWqV8vpMdu+JYAsVnrOJMqKnHXzv4cDM3SHRKM
HK7YwgO3FCTS/XrOlcvboezTHsM9B4rUUmFCEsHzat725BJzwCz5GhJmbFhYxaP1C8xiu6Uv3QxD
jisajG+xd/1s0u1ZOtRBrgQ/tMO4kGxI4r7A/Y1rRy+YRtyOccrJtSANc3cRgsc7sEiSWSiwMAgO
1LlYtZFNzTqBMx6Cmmb5zns1L12d9LrtdMHhV4NeNh96nQyFEt2mESA+pzJHX07dGJZ0ToM5Kvod
sDAQAGmj7JnvPcnPuOP78AZpNfNS90NiJd5JDALYQ0bCLH61gfWuL+g2hfoXW0Xe6bLr0BLzIun9
WyWtYTCb/JjAGqGu4CQgb3hXMlApCijUrDpleyjaX4hKfSPDiyVPEl2oGdWAKUbS6b0W0Z5ENVJg
2+7eBTlTrFDpxMKSzOu2PKGL3u0NJCskqiLmE3aKIPn1f1poo/rbuGNDCkMSOVP/ok3AzVRj76r9
EhfXsKAozJPpT8o1zJcKvmCfHoXOXHQ9dEEePvkhYNmTTCQ70cFqJL31Lvsm0NCvP+Sk26zq/JBA
reKn/a1CzTgQSm5XibizyXrgFljBz6mDJ/BT7rBVX3IDYqiqAgCtCzIvmFrdPRibcnjaVxi0Fguk
B33JOFHxzQYQNRxQ68Fkus473zZfmh445uXisxS9ch+KETBp2qOLoXEPnW3qms3QgsmN06Tws1KO
oTAxkl9MMTE5RDTdDJh9Xw1eQQXJoA8ujU66sdxW83Y59OmUyPOsJvTvoK4CL/6l5mBYa9/1Mj2l
DCr0yuSsR+c1RnA5aooWxdHwAGiNjY+z74LxNt3j3dTt2PC0xGnQ8Z+6l0Ic9nHjPi90Nmn1hChC
bjHtiNHTQBvDs3KKN8xK0dMAzL3foUYCWO3IsooqSGE+eh6NR/AxUJAY0+HFLm6+jwn+gLjcDCMt
ciTxuvh5ztnUZSWifrK5Rr6FF68tnhgO5aZh13RLE6RHlEvXBEG9zFC1HKmCaqYmFHIjHEl5OD9l
extjU3K4P+vT6qHlq8MYiCxSdUXU3rTzNMLUOkSq/PWURTy+hRorgmY1HHC8IRlp76BeKKQVtCEH
LNQkPnkeh+lLEnZIQG1gJGVvQkl98DJEyzq2pc+AiP5xkVEb8m5WRcVF5tZEvHi3jvuVFINcqsgb
EELwklrbzmXTSkfPU/+mJQEgZBgSmTKPK3TgUVuNyPGg33089LZ0wwTSNo5fSO8LgeNaPK77mNsn
DouY/PewCCfxZ1EXhK8BMXrYSjZkDpfl5JA5fePNGyObdX4KriGNmYEcm2kw/Uu+D0TcchAD2NdM
D563yEpAAOZWebfgpDzCD8j2F4MSiHHaTLO7+46EMbuHYGQfjhg9Zdm3XLCmbw9BOkp+6fYgHcQB
iY2uXw8B/ObTq8VByZDXOFa2fSrDRPXTqesgRys2JA0+bHmCwINCu9RmX4NunV3dcCyue5dbLb/F
8LdiJUd7L29HRM/mX4FzNlhCidtzVJ0cvZS/T7slmB7MTIj+k+gZeSI+alRYgmDfz12BAonrXzu4
cOmV3oFw/pnUbqHvDREt80Slt8PVFrs++rquqQzPu1n8cjQDKJ1Y0YaO5hLNJRy8iQpt8xTvXM8H
zUOpAT6vQXxH144OWQEUhWSXUMBupnYE9oy1GBAbNRbBmmt9wrgkRVWQrJjxZAVVXLanbl7S7ee6
sjadiyGbffQYzM1gj4K6DCwH9PHpXiNGsuHHjeqswy0WwFbtK3xRmAYwnlB5HgTxK1Am7KqvDLAv
oICApWGjT/3seg7Qe2PLmbckIwXZEyj7BAdcfZ+Eg0EdP+Y9J7YAeJBh0KSp7HR8mEE3nZMbZUPH
3PXGGjH7ehZw2KN1krXKPwf9Bn1gIaKFDLZGHbXi6h32NJLfhZhVh1H82hB53eEcam63PprdBjAc
LhVrQUST9sBzZhmarmbT3qgWWZBWQqAGpHcwQOWF6YI3xH+w+a1irHPZaTeRAUCwky6b5qpZGYZz
BTySctsdXEZt/ohToO9xoU7UyicTYNRyhzJgGu+7qeP572hJ2fqQyJYkX0WU6PDRbFZGX/JwiQMP
00ZYc7zClZB7jwlyj6sM2aDYZaQKk3TJL51ZfYP9LPP0KqJ7O96jI4PZjcJB5Q5KzWpEsxiGPCyl
Nna+3Np8666zOBPZPU+M88+bNaIDzjRTgGa2zyccSAt0Pm9RsevjrsA3Ld84IMmVEHQPf+XRGwXu
KEA/zgAZ8m0C4qwCTKLy2JrjSNqE1jFCttwrmx3t6kUzTi9HLtdWlYbMiVtPwNEb1h5hjWV3jMUD
3W6mnMzc+HJSG1QNWBcYdp07SDvt9QbvfN3cahDX5BVc3m3+NE4RbLWo77fhMNplcQd4CWl90HIL
rwC5hl86HBOqYBOGUlUbBf57HyzoUr1Dz4gWOI1/82BvHgjgO/j8bz3we9Z+CRpkSaNviGNXeqUj
UsSYAWqM45L1RHErbfB2slReOCzxsbAL6NBn1G9EXW5xLuczzl+CYzHl8VLxiJnH0Id8L3xsAvRy
qkkSTHdR191NMc6cG4aOld0BDlKrLOMsTEAx6Ia8x8SLxunUwpswQyMelHA7STeEAphw28MS0QFp
8FVmOGg3nMPfFoiwEvyzteidk0QZV5rMRPs13TY3lvsm47bCiMfxIshaE5dmpTIH5pUPrClW+Opf
IZh2xGMmGtinKF/G4JvqCP7POpPlxYPddLch0pUWe7jwe2gd2RXGzBbpibM0t0B60l/ACJP5PqB4
zoWB91VTJh63x30DaGyoEwxXXAVQWY+ln3B7FjCPj2OY3/IYyHQxQGtgAC8kbYQiX3mXfWeJkPtX
oChvvc8W0Zrte3aVtGEaXCKebmVlhti7SyUJz68MODFLoY1uhSxi4Hzd/aKAK5QwLXNLCVkxEDuh
o2ArBOr4EJrwzc155RM4WxWsg/ONwtMz8pTSHBONBrjB1SJs9zWmRJELIZoYA/EFDy9Rbozuau6T
PTsOaHfeLmmLXTTN7WB+SRgTo33ykO4fh7GVUGyMY7BdAwIz6iJbmiS9CzzqkjIZM/eGM6JPxXwv
gWFzCcpfD30nJxHOb5mkDzvMq172zQJ6mSeT8kI51NSVDUBCLFYpQ9zO6866EsL07YHmwziUe0Z2
WfI5blLExieocoMNDTNup3S8QZHtSUUiqn8A2IfHg6ABKn8U7VFQJzJFSYdaTP/Qc+9R1DYh2nmw
wXPM1Ip+EkxdRhiJihvb5ok7WWoCAqc+smBnoHr7aVpLxztkVlOMmpa1uZuAws4XXRaMmCLpcQeF
IgjeWHNKrGMlx4484sk9q7a+RSJGSwGuFYFpsY1AeRvbeuboZ9AKbOH+QrlN0I1KBPld82EezCHY
xv5bui2zPPAEm5SITmSl7UkHSWQGf+JiyoIAo1sx270MUZeyw7rY/npediSjwrfWomYfF3rd4DIR
ZY9i4BdVEaxyMVJtMIBPExmX8JHbND7zzEEg69E0lHGcTd152COzn0UbjyvUOWS+M/D4pF8biyzR
O4z9APMibjt7WlkTaoDxQnuYLqVdWiQ+y57ViKYBI/D2/6g7k+XIkSzL/kpJ7hEFxaBQtFTmAoDN
A410Oun0DcQHOuZ5xtf3scjIrgyXjIzult70hhIhdNoIqD5999z7rJNFlDwtuqxahwuJzYwBGUxd
VjT/jaxRfiGIOeK0Bguqzxx/Dw4Ixuw5HAW6Z7Y+I8VomibiwTURw/yZvHv7oSj1N43rUL8U5Vro
aASd+TyZ+K99PcpmbWdXmv5V5VX31rodhnmLhb70DVfD+LNY/dR4c9iot6pfwoOIoZLDLsRKLzTt
JWOV3S8qKo4ZttNdPGqTn/eSEsWe8vq5jIpm57L/+prURo5TSntxZ2W890x6pbvtZOdEjM4trkiX
C0fVnXOzaL8w7YVz5YJhxsXJcp0HffCytoPgF/o3fbW1Q65iZjeSPH1YWPlfcuaMc1siIuBeSpBC
M7edWLVCc9PLpNrqgPOnoh31bbyY424I++gxnYp4mzhNeStUmR96E4WD1Tg5OXqXHdLKNviMi2hT
VK4IpiyfL3RRnfsZMrkQZuaeFkKapkO/aBDa5pJsowrAdFualn6RqltO9RQ+qzFKPy3haL82cYEe
THHjRfFU3dIEWTZispbXGy2CpDsVn1djyBJvLMJsOzL/z1u1xfAijhV+aybVAdukfTYzO97TgjPp
k5VpuO3ysHHBIMbyttRp5DeMz5wCjZGEwBFLsd5IDisuYi16z2oK0A4DbV+z8nzfrUMYNKXp+gyi
mUMfmIi9cpqW5cCpp32nn5kzZpTTHwoaCn2qWsC3wQrozANj9ZmKNmPc5KlPJ1Jj7DTpxjIdmnNp
MtQxLQa5ZYyrs1tGKyG7LCrZ5+riai4lukRlMLeqb4v5S52E6Elt0/afHSXnrdvY6TkfE0TCgj7k
xDie7UIKt09Tq381itwIHH7hxfncPNpRORxa1WWr19Z99ZkvYN7YuahBnMz7odk2RX4N9cHctiJT
z5xaql03dS7N+Hze6GZWCC8CWtjx7bPw3RXKqUGtDJphjTe2ytX3wRHzoZVd8VwZ9ZJ5liyrj4Kj
Az2PjBNsScn2wcnahTV0aU9q6EI2HYcJ1tLsaL41+Wns4oTuCiL6edWsMahCvTmtHDJmlCr5bYYW
2vShbh1dA7pr1oj5sVfkhikfwsIblkEHArbiLz1767mu3Cyw54GBJZEoLwb9m30tXf1QUOC8y9Fw
XqesE9+kPfdHwyo6Ntewd/zMtUa/U729WSUqad+S3hlkiWs8VfYyvUglzYfIbeRG52r7LK0i3ulZ
iohfSWAAbpYp9QfDzvxEWNm+Q6oPpn6sj/T7xrOR14xJr9qmfus7K9mOsVgukgghdz+x+ZFOMKbb
Eqhs3c9GL8uTlfXFbc45XGzN2c1f4om7woMRUS+xk1mP65ykB2ST8blitg/4F6FxfthGToDWbQ2U
m4X6zsDSmg6XZOzukOrOpp4imgi9G9+msmnC2MNUaLxrQ1TuxZqIoJ374lOKpIyrmUMPpzsQoHo2
Pjr9AF+TF8OWjmB005yw+TB3LYJjyOiQZ7rMYgcI0u0qR0+pEKDJ/ZFEu40uaPw56AIvQ1UPCAWd
qh/jZhg3lpm5r1gVWWXnMsFOO+ahvRk6q/HzVKwPIlnnwbOTPHQ4gHCRPfdZIz81XdwR3nsv2fW8
LvcqUtn9SBId7MiZ3+rYdZ4GbW6HbaNlZnqkFeiCT3RZaH036ffZ8DWiNDzy160DyW/ji8Ch5O6U
a83ucenT0DmkKIzsPHVeU3iZZsS6TJiyN7pTK07GGg+AGx08xbQkbNTG1EeBY4XtrXKyek9DqmBy
WzlvRF9q2zxDq2HHcGj+sDkC7tgszT5LtusvzP7QaSra1eM8dPrNGDM32je0fm+1kRXAVrHwVGva
GOUQXzmnZB+7OpH6BkYvLq6TaKfwEetnRt9sqakn1fDK2XNKN7TU9P5Lq+SaaLyVnNuTttEiOMYh
u3VF6Y3QIWxVkz5UjbspZ0vGb53NvcT+KSqRNDsrpGBdA05PjKjYLZm2rlwiJA3QH//3pOwfMfw/
pxNWREm7YeI4W6En7UaCYDCuqkqgHhi058Wa7F5hQsRBiQaXTEwnpi6x30wkI1WeA+uz7zOAf3Ia
WSP/5DXdofd/hZv+5PYilJhpngswPF+30W3zXlnxraKsbHYmC1jqa4YRWQdySEmFHPvIGXzUpNj1
6b9Xw5+8ij9giOVPIHg0r/2caK2zrSjI8iCJ5XxxQjZHU1TWHtZCqsO/f79/AIX/PJK5bbqls0xT
btcohoECVGJihChQiPZZUrXTn1hX/4DH/3k4M/pG4xaTYW+lioygJ9Zu0yR18n/5Jszfk+11a48d
wUf2dnQKxCLxopqoANxY/sQH/Ucf0k9Id98QVFNHId54hp15cbscQje9kmv2Z8khf/Tx/IRx9/gf
wACkvVVWs8EGwTEEZ9GfXEx/9OA/2TvCeUyItExgP9FoWFDG0BOxGv+E0P6DR/85hNXIatNeND4b
Yy2k5/QuA6XX6k9Y+j/wRP2cwSpbUUw44LhsYsc1vndlUky+LheSvoQygEtr6pCC3ba36+u/vyH+
6P38dP8re26GySnwCIkZInRYrNPgDObTv3/0X8ci/Yvl5efISCddTDkukbUd0rBxNp3euJXP0AU7
+y6LkqYVR4mo9zK37owHLU7W9E10qx4G0kjN6BRbaR09W1bTJoEVV5MW/f1r/M9v8/+I3qvb319C
97f/4v+/VfXSJlHc//S/f3uuKNaK/7r/zf/6N7//i7/t3qvrl+K9+/kf/e5veNzfnjf40n/53f9s
yj7pl8fhvV2e3rsh7399fF7h/V/+7/7yP95/fZTnpX7/61++fC+SMqDv1ibf+r/89qvD97/+xXFp
+9wjSP7zn5/jt39wfxN//cuu+vIv/+L9S9fzANYvhittoBgbEtZx7w6E6f3X35i/SBuYxWEOu26Y
1n0saVm1ffzXvwj7F2R96brCwXNALcua1FXDr7+yflHKdgUmdwtWTuJa/Mcr+93389/f13+UQ3GD
fO07HpgH+qeNyrHur0yXsLXkZznC1H9aOwxUi9LOp2mTOmtAW+Y5rKfN4A7HOa9dHyxn8iy92mau
9qVLa49u61faTxxLpvrTP31ov720f34pv18e//FKeCm2bel8VHfn6T8ZpfOIOkvm+sREczr4qxX9
GFfaVcuEMv3vn8n69c7/7/vn1+eylc5N75Ik5tg/BzuwVhqmGdPANQRdgNUZF8+2LGeHSNBuygaq
U+XYaAlXPlIPm4c+t45ZGI0XJMDXktp01yvzPXRkfJ2rN4Ejg4miffEgXYedaXb2WiRhsAtm19MP
qXbxovZi6eTOYSKiJ0mtP/76o87NPeyx2GuZkKfGmALZh7R8SgrZVO+cjYxLFURpLDdlO1wSJe2r
YS2AqO2AwS4De3Xrqz1O/S5LF+ugGAaPqaz5CqjzrsPpa6VhXYVwY8iWMD30c6j2aVl8KNYiv04L
NHseYSkZmrLYYkr4LPQCSdlNaCdl6RAYff9KWEx8SxLZvyzRwZg6CX2VLNs8T6tH5ar1MHHy9LJl
qB5z8159Dl6OrHPCdfBYk+78WCxs2mVMKJgzW1TMKMdtKr/XKok/ust5pNODcldwdwoWsLICAq21
6DQXVC1Dre35eM39VDpo48ZQ+ngQqkMkkzDISscMYiEgl9vZ2s6GpgezJpynUTJ73CE4yzXL4yKb
j2C8APNV+7hUMjvo0tp1WsiACnsiBf7+YzZs5PP7DznhJanDSufUSmvYya41vNVmmXn+Lo1jeM12
oF/vTrsIwXhb9DWdwYmToODkccI44frKsawNFKQRKE4vAch6giLARFKhqgCLQPvA2KVDxPn6pEWa
s0PZ6Z9oPm8Q1CveQl3dstndun0nPmBZh1VHKgTp1eeDHnaD32aTsXFpJ54xzX3MqpaU3y5auUTt
ZVMD5DidPDhRjPwf0wgSOr645pPmlOdykc9M4kG5drTec2vteS7LPVamR4z8PwCHQe7bcpPSzdxO
xSM9hvBYz+I46ukXd1iEPzbW44LVJqvb1LurzwEjXc5WBEe1jN1pDfQy31uhDnuZ1J/GWqNxyzPR
Ynvk3RN6EYYKdiY/l6cF7N0z83CTzkwQaFeYh+hraRVnYaY/QqcwUcZfKql/bTikRQkt1rRK4TXh
wKLqpavbDdx2d2hM55JNJuy3zA+h0ZhbjVaqVzbJVzW+Q7N/Kwxz5LF0L3RwNIUAVOXiGaF+byd9
1JbuU+IO8B0zGjtoysGIwzP6+MWtpg/z6FyZGHaz4/p7EorXvIPEj7Pap2L8mtZIeLZGtzMsF+BH
4xGNjZ5YecW0FSTYq0yt/XL/tH59Ajo5KJNAAgHRz3tb+nq2Z5jRs12Yj2qxv5WauEQzp8t2ftFF
9IN0/2ddmI/2kP4grRQUqrs1GfpXKnBlWHp5XkcuytZJX1e1+FXckSNpacozJM/BCB9IrqSj4xh/
GSrGA5ZW+8mofKd0fxj1Np74gA0ZfU0mcDXb2OEQTpEqK0JA7eOsqWc9PtSOc1H360gbnefazntv
DG8wL4+LjdXKqMBpuvJV015F5hxG82PaGAzlyK0gccLn+xKOivet+j7b+iPH0xvTIo6hDrXWI8L0
1fI6KOdw31KMpiX+qh+vY6UHuiEzwnbau/r+g5HEV5PrIXOT8+iGhyTiQwxFeab7myDHuC/W52qB
LYroB2ryKkM+tMaCYnRjVFTa7g1YHN35BWMXdpZAG3C4OBKSdLYXeHRdpo921YVA0EA6OITwR9Mg
360AyLdh2hYsvlenDpsHsVTMW2qni3Y3vKTq1PT2tW7eGQ/1ICPzMQMcTOdbpNTLOOvbrnWfw1TH
SWT7xuJu66hhQ02SHwKd08uATbHLq9nLbXtjCe2xDKUCO73dYcGykPvQqmljlaaXQL57g6W4EJ2Z
ftNJCN2GKhCPQ+fbEV2zLO4+qRDrGZrP/cPqBx53BX+FOj3ePxFziG5zNH4upZZtNAMSwCx9M8++
LthyvE5Zj50j8ReO2VsfFWde+pGB8j4H5yNy52tY0q0UKcJI8rXT1x2zIFueBdqMA377KVs+TJF4
xrzIV2O2xdmst00igZGHQ1GOnIXlZ03X3oe5+RoK67keIOiVRW/dFtlFlcZtdMYbea6Rl2V8WfP9
4uIeP8Z68djq7vOY835KpziPol+p2mmwTNom68NN3/Kbsaxefq0Q/l/XsZfkW4sE8qP/uZD9Xe37
/1G1a3HuoVvwx7Xu5Uv8pf3SxX37u5r3t7/7e8Wr9F9cAQXrKouCklqVw9FvFa/xi2RGn40l1bWx
Vdxj9n6reA3jF92wdZutkWrXUfc8k39UvPYvUti2C8FtGNIUZEH8H1S8FH/3SvJ31R/DoiyKXdNU
UhfWz+NxmAKu5rv6v5EL3bR2Tdxjf/9Bh0H9/UeXppkvKBPWe72AxfQxUkVxlkn/MZm5MDVrk67K
8nLcKE8Cy1TQMR3FiBxxMexqo9JJXbHCcOKwOzOYxD0JdRlufADCN3Q39ziIZMFaMfe0qmL9mtuN
dfctHIo0+x7W2XKpnbnaGpMVbWJDYlO1888sV49ds9rH3hpQg+rmVCqtPjVgH6SerV/tou9OdToA
0ElauFZxRNjNNsLR3U2f27PnxlO3gS1+KXOre2hrnQyf7hpyT5FPPU9nc3RfRLaqg5zEcmOAIgFY
A/4PevJ7Jy1eV6ttD8YAWZe7BCPMfMh7p5jVtrZiuq99u3gC0uximhMZ/Q5hbwCO+8zS1sPi1g/9
0mh06y3OFir382UurlYnlk3uPje60+3txiSLo7+h/utPbLb5HuEEEhu2ZVXyw0RBTHf2ey6YR6oV
87FGhjuVTRBZ9nBZW8yuFVTb338MYMkbGa73iE1ckfGSGNvczt8L5IB7+PVwTtMkD2x7Tnwk1OpY
5KZPb1X5EHMMmunsHZTFEsRLGgWpVsq9y0xwfEuSwgbh4DqwM/uozR/TpcjOReam5zlOP+auGLaL
NnRHo2grf3S06BKZIIRrXTWfS5dhsXLKX6dee2eOT2CIPvkwA+7GLsY1j7rlLUyHJ8Th8tMQWbs2
NxPfHOAqZ0A3CL9JbVeU9cca/oN6QF9PCB3K57p6IbQw2g8O8hfVSH4Uev9eWV+mOlk+pxbltRLK
K6oB5zQ9/6C0Yp98peXdbWo6+fajTnPwMhvjHMjJ9PJC39VT94O9B8+o5VyIXIz8vlPRobos+Vpt
bM12LhUIy/6z0pOIrnJeny24XMlopZNK7ZvdgNLzrMWpNPPyBFryGkrbbxOzeQAFsA6kJM272FXT
U3Uv2M1Br79P/dlu2oFoT0zWSYXVLabAgcaaGmgbjWyCyr52WGkuxPNO23lJYREyYZ2Z6G2cOq7N
ChHsgLXnOFmx5jdL3pyXkI0TRIDQqiltjk4XH/pIkXk+Oyf9/qNd1yBbKgfvr4PJ0JrTq12W7s6R
Efsk/dvj4jiPcYURNa8mcyspGDa5Hu+zpravvSy+NaEWnrmQuGeAUoKmZrDQgOX70OXLjQb6bYTw
eInzOihE1vnFAjTlqPiBCdjaDicVcBx42NleUDn5jwc8c1WgELAPEyRngIu82HA4086muI7Qyd6g
Lf2bmpwfadifcBNRt1HjbLuvhdGTu6KyBc93a27svtI5by3OQ2jMBxuRIVrz6ZPJ0uFl3cjSkeKg
x2K7leYkPjEw5zkbo+kKqDrikIhwP9d4jJPwYrjXcVHiTSxxsxsGfTw1MC7bEudbkNtS+HacDpdR
1x9Wpo9sy2yiQNN6BodbS/7IZhEHSdoErWiHMy1F4RkrfHfvQsysTnSM58HeaGW+7GS5YPLUrXkG
9Sqx2SRr4eVW029FhiSVIKzvzC7VAhSobQ5dtbOnpveBYzTgpf4BYmlFrob0cOxtuTK13G2XwmtG
Wq+TeMixhVzk1HvT3chfZh0oTxG/Z7q8CM3A4K5kj8Rje0Y9fmqqZZdz5ANSiwx/DfXvCzLhShZV
Xmn34gqPG+OxcJXZJ+xZ+zWStwr0hXCFZIfAbvlJ86QvotyVsng05HSWaEJc3CZ6ddP4iQ4arLXn
OelA13U+83itqUPrqy5KSjpdB5NSpCfn9l6JeTqZVOOcoZ/7qEe7sJePMExkvHdSBEV6SFviZIwk
CYGf7cuwzp+NxE1wgFehP6Nd0zV/npJ5R5XYecZwQgrotrWEXjYxl5v69GYm5VehTa5vFOn7/ZBo
RAwvH8f1x5JoLJFCC1TSg3WYGe0htGJ3FBbnO/sBFu5bkzww9JHI3Hac9vjbNoscXiojfiVrz5Nu
ho0RKtFjVfo8xvN+hFz0ihQ4H4WUxkP+vb1bc90QsWaIxFZUfNZxmp7TQnuZBGYHrNUYhhxuXms+
TuLaJHF6xLh4cSxEJ6auelosfwgGDx8ZFpN4H0ZkYLdoQSIVRxOlb9VCbxwjhsMrt9bT1GLQbqoB
0klZgebGR8HO4CH8Tn674Nmq85VOVAo5jfl6MzVfoSczz84TRX8Ii/ldmTQKdW2ietli72v4s2Oe
6rfJHZ9Bv7HtyuM8h6OfthSwNTsfKEVYz94UtvUHxtp6mdVaTE0xfK7BR6fpSJ7vMZMVFNVDtd5M
N9viTqg9OxWHREVfpCYe1z5Cs8tI9u1LOr65pFlBdkJh2KdlGIOsGvOjbBXHcoDxoOLe2A6IY5Dj
erI1VSiDmkmQTxE0sDdZY7dPGRXIwdR64SCMWVeOL2TW4WGO3E3cKX1DoM7BapW15UE/Ow1zeTFx
aVu6z0SAGEl5HfM8u0zDS+QWAq7LHE660x/zAVdq1TwQtDDf4A02pSiJCIiQuaWBlzPs26BykHAT
o82DIl9DOubT55J8ip0bC6LWC7eecUAMRoDFdVdxuRHQWw7XUE0ftZXpFtZsal7Zmv1TmQqA/u5b
Y7vtk21yGI2XtQqa0CGxpim3o0ZmaFmIdbtw1e2zrOT8ZVEf4IS6To6ZbvX5WAyifhns27zUJWY5
sCM9JAVaYYfw53qyzrVZfDVG9ZYZkPahmLvnQX2CB119Vsb5ClLJObktVkYZMwAu0Q9xblVfVuR4
pNVhOgJufNGHQl7czN6RXEAdCSJ306H5ferFT6NWqR281TbTScSou57Nc55XL57qnrIEbMCQ9Ouy
jCgIS4dZyhj4sYuSqd9Im8s2URVJA9IJ3Er1R6cH4k8tT8ayf0zAGx+5MBjQpNWj9qnTkyfdma6V
Jqagn2flz8RUqFBkVK2IllJvPhMu2B6NaY48xnkoUnrwxCMbXyLsgh7rtdqU1nC1IRMeZkm0rEPR
dOwL3adUXq4Su2ZTmO2DUrC9epic8AG2JzfcRm6pjr2a6QuS9ck609t+ZI5JMKpe20EuyR0TkV5N
PLW3GWIn1dr6puIaLGdB1e5qxyuNAi+mMzM4HlMyxrhEvoow1D09ehSSisl2vssee1TkaMZZB+0n
1R2QPUuTU6Ebz9qgsoNIOndbiCgowKA2SWe0D5Nl7SttGJ5meHGu/CZYMrHrRxyOpjUqYAvsnc60
1B+YB+1nlKgGgPTzYvcKU8FcBosb+pYW6R9d835+KMJzRZ6MPdFCMGKAhmIG80/rwa8KUztFek2x
70bHyumVX5Vp57eRdANtbSRYEJ5M0Nn2yCjB9pgy54UF0mw3Lc48zxkGbBmd1mwH1Q3btVX7Qmmn
tSir53wSrwColpfhI3mKsppmYFxEl2RknPZ69x6AfGiBo6LRb/TmacFiticmQe3m5GjYcnrGNtxd
y9k+YbP0JjE5t0p+ZOB1faRF7NVGb55yQ31j1E1/hKUcDpo0b8ADGulQ6JErUyGeXZzT21LBttjD
/OpgOTxIpofeGFNY+TlPSV4M1q4xMc79CqLGledoy8OgU/DcATg9nl28KNpBZWK6lTbuGqfDEeg0
EcDnKp8g9+WQ1g/mfYRPV723vdk9zORn+dELxyXzOs3FsW8y57JEVOJmmQ1eF0WDb7RE8I8Y3jd6
HS3PUfmhbaDYlqWlhVkAYSz2oJ0Bi1PCNRG2OUpsU3SF3Ry1VVC0HOaIO5BejHGEFrD6aBo2bqDc
hstJkduTiDtoRinxx7NTNeph1PR1o2XbFBPntMQQr+Z0KH7oHW3SZmW8puOMQICpAdVi/9CsHysR
AudxzpaHTlXfo/iTrmcvfciHYcfLssdW7Wwiw3wdhftsYK3dpXw+T+FF6VW4KxqH0txed8mw6tw9
2Ydem16J4wBcDRtotNTVkX3wPYjiVEf9vHNJeLr7kItMPM6ieQfM/HpnlYIlcd5qk9WX62fZx5mx
t9VIZoFozoQ7aZs0Sq+JUY7XZSHNpohosSkq1v1gVf1mWm3ravZq8Tg+YdtvpkeZr+qlDN/W136O
0pvoFxmMdqn5zBg6hCq3Lu2gX9x4gNyGZ/Y0vseA25yXW0iw4Oyj3U/FJVT4tec03yOqZVstjMOd
HhO6hOPppZxq87EJ093CQXMzomn4Im4otmZb+bGQXxCC4wfZU15ac3jGeEPch1WljxHTK3zb2vST
NM9G14gNU0+vcZRn53vsW4BjaK8PvXtoO9AnGelfkn7ND5VolmM6DkGEGnRBbnXPWlmAz2gaKQAl
x1w1EWxlDcbWspJLH6XHOgNqR3TYSVjrTV05za0r15021+sBAHhX5PdvURZwQEl1lSsuV7ZwhqFh
6/Km4oM9ruZTbhM/xVIj/Qy47mG2R+Gbivnq4Onateo0PPZlu1dh1ZzilgRNRrZkm8J28pM+wslk
SVfsK6FdG4vRYTnZTPtxdmwiD1lJomcuy+LKgXlkheVcuMC9yyk0j2JxEpzoA6ltxcCab8TuwTWt
NwEadClFPNzqYtqwJ0eHyVanCrbqrGIcVU65Htnt/JwTblYfHcOcvrhqVH5vhPleX6pX3u18RrPD
KVr3tzIiwdqOHf0hCUfyvGqOLB3jVHdlh/V6pg16iMhe25cT0T9Dl2zCxCrpR7LUm0ZeIirE6UWo
xt5jgHs35pVTKocNaY8bO5yMk8QCcyi1eDe6rnMcZXmOa9yVMGMkXfTaQfJ6K1WfhU2okdnGZ9Mq
412x0MQRCxy5HWZ+HJmHMSnO9fDVDdWHNA/PGI1qbxDOO4TDHaibHvGiBWtetV6HVjJWcbQllB/m
YdwvdPxBzJMbuGkEzCs+5h2pCLlFO9vsmW9VrR+yqXZuwz6bFIfzRtkeuCy+fD3luK7WrROpi+1I
HX9QJYh9PDY5UdAcdLHOjW/KxZdhm+u+HD8wzOIoqd9zl6VlKtXbYuDEqePou5YzloKYTtoBeQ4t
KA8zRfYBSwUJREwSK3T3MHT9LjZm0K8qB1bEQGoby7sgJ9PDslX6VkY3QhEGTMxV43WGme5aSEWs
xdjwqC6DlTAmv0xk4KT6ZycSyhfJ/AJ6vtPBzQjA32iDSaFuth+wVTl+0lpfFWbnsQ+Qgz81whyC
rshfxnH8aCx7+nskl7XrHXbXThh1f3SMuSClzwy6tTcCqsiL0ONiF5bmD0agP0DmeehQrPtD5O5p
fvxwzAIAN9Q13FxrtHEimFLDtnY4k6KDpXWXORsZ/VnoXyvk0+sIv3jNRIivspTJxiK5AfETC919
TfCxbSScMFhsoA77i90XcJZW/lbm+Hc1bFZ+BCGCFWztjqAbIaeeo8TpZvbVFYC7u6S2/tBFLmaf
e4SHxBATiKrIrt1C0oaZp1fyPdKKiBgjOmWQEZwF7RGqera3Fn4Kb4qzkvNm8y71O0pI2teD3oTW
RnszsSx6XO1nMc0fmq5Sp8IxUH1V6/gm1O627nPu4RCHcdZb5BumY+/XtmFtCzLzbs5yIkRieCDx
zYM+0eiz9avfi6jfFNlibUTh9oHVVayEQ/JEd/SLCb14hrwltSXtQlIIspxzP4FmLbdGw4SqZ3yR
N2rcE8zx+DarKPXVhLjC5lT7OikcTyt+cq9w6v6ZjSTgAZqNEnLZDfSIjtY8Bu6glT7uyiVIqb+S
3tzWneV8ivr4yWi1pxgLPPHRYbtv5ZAE5EjtxlC8pTlJgpwF0L9YAVfFB2NrpG1l2b5Z2y2vbyJs
BUtXWc/rbi5l4xGcxFGK8w8FYNER9UdSzMj0Q284knH71gnFLk9GKk1WyVZU9a2nhfT1jNoODLv/
ihp6C9vRuciUm2j9rmY2WotFzs+H9FV08bfRdib0YvMts2njRsr0XQMdJI/zU9kNyUbNFgkQNn3m
Buc9xVTdkVRnRR+KUPtUhIPfqyz9ZI/2E8kUEf7KFMDVfLAnq7i2WDEILtToLTUmO0NX+BX79tNE
DF3E9C6upO2oR/W2LavHorblQ6I6JupKv9JBkZUpH2NsOZ5uk9/FZdqcTKlOY0t9r+IGOJq8prxv
78x6/twoCqyVydT4678aUmP7pvLEuJ88D8Ru4iBrGBKWWA9ESeu3JO72bdHjn134rvvpkHMqOmVa
j6u/tLaZrEafFXfdNUqe1AOh6vKVoUbsCfNqEgeV5b7ddvGbZttbBxVYtPoXbr1yE650bWg5u9eB
iBese57Wr+kDCj6mbHMn7yKj2XWUcIYKWkLLPHILKp8MycLDlbAjq5/OZ/UcJ0t0KfEOENU2ncfm
f5J0ZktyKtkS/SLMmANeE8g5s7IG1fSClaQjCOaZgK+/i779UHbaulutyoQYfLsv52DnQE+ms3VL
MHIKxC1PCGqg9n0/j77NMuLle8Nx/1GaveyHofhWSeOd8qW6e7EZI6ph3K7Xu+jEvUuwtsPQ0EPi
18250XotWDuV3Fa5LOESh85SD/eyIaju+OKTcjNr59r5B6f3nCAfERI2k0Tqf0SWwGYHUzBafK4J
52C5mS5i92C0PDJ14vHtzfnZqeY6yMdHXdkWZgIDnSd2zqJZr1M+GPup9Ze9VpZnVXKGK7DcF1DJ
DkQKtoPznkDjL3pdtIDarZFhqIcDeZpe0wkHX2s+V5Mf1kh2DCEdLDwjoZpGChTETgvgyZzKcXJ2
I17yHjzHzsbzQkK7JwdBwGRO27dlQZVBqXhnTyA0Z5Bw71LnZZHZNXFXlGm/aZHx5yAbR16cCuGJ
O/lS59YuLoffXZxZF80Zf3EBr0OySjs1tvUx29szgDiTN7BrJvdIB3UvSTAzkxgPS4f/vucZqRL9
vGgFy83gzfsbC5uKeNs89j0WAr8QZxjk/1yREu5NIEFmcS/BI42o9nhtGRRMH9yPNLhn9n92vfRB
n/l/S6wfF86Fbo5S1GzMmWHt4V2VZRsaKTGMST2KFlbItHpeMGHz34/rkuwGKGKlj3CVeXuD0r7I
QKZbRveb7H6+F+5fZTvHZW3eO9vADcE4qhybiwST77EbwCU5Cr1gl2gERItV1ju3dUiMqwFZoY13
NLj2xXyNB/5Wyaz/gE8ls1dvhImlDmateMvn2AhdLT3K1euPknPVjt6iDo/ABYn2T0eCsCya93Xc
wtb5tM9skjMG9YwZo6CXFHDuxtzULPkQ/r4AoHVlCvIQo1dfTY4yPBL1v1auVWTn6BTsJ5+6ys5u
yUffdvsxGZIna9Y7LP/GLe9wRo+azEP22u+0n8zjZDFyqw2ehM5DKsy7LZA+GddWACgVaTGc9aG4
EYC1kF/xYgglOd+RodDcF4LqywmwCmlfYqT9kdiEd9Klvx2gl91SxgjWhWteurS/c4sLaySv/pFo
uLHkwrS8Ec6NJCTSvd1x5srwFZCbJSVk4C1xTh0RuyDjCyaSPIeLbYmz7Zvk8NPPUZZeaKW5dags
d2fonhFSO/ZOZdMQGYo8UKG3x950PuKm+Brq5p8BW3av2YoxP7PEih1KzPOpztc/TJ861AuNLqxk
S3hp8cN/tfrh36YHvMmqR1yUxlUm6KHrEOWuOVyyKXltLH+5dwZocH8A9VyZ0KX0CY17NLBKWMI/
WM5acbGKqwMJ/woPW/HVWkZ2UFu0EmDaZ2W45Tmd6peeE+FxRprPktI/8ca/zHKYbh5oO6ONk8fq
FcW+cgTEVKtWoFFVfuUadm7XEogTmXiW2ZH6QTuDIwtGEOuTj/P6fW76+MymD/CVTsQorVYvLLcp
26Ct25/eHsqYe+RgpF1g466NGhfbU1emEcfUaS9llweTUb1MMC4vrZhumgT83GmzFtZbvh96ihVY
4NyOWbk8ED3ig9C1/NiM2QVxfv3VDjqrWVEegAUnewvGx4cWY49IYk0cZZMBdxMxZjYEZc/OuxNW
jvXCY+QzTGAOiC0vHJU1P5XW0lCTXBFOtmcfXt1UhiQg/qsrS4Z67/a3vhh+Bp+7b9nbh0U5NnG5
VDxZXfe8+hiIq1wIji6DcWtjNz/Gg/Zr0W+V1ae/izRSaantiM62b6qzgmEQn27XnDUOP+jvOWt9
XOYX3gj91NOSNLKC7j2VuBv5FU1rzY7FUky7zsu3vFrJlHAbZHRGfWx92DYL0OhEOF6k0YIe+KfC
zopvLTFvIBV/keIf9hns+mPptlebc81oWslu0eV80NckZGw6HNuxP030qZ7/9wMe6MfqGtPRkY58
agxmAWwg2X4xs+yJ3KBHCfsZpEUS5vBfIk5Z59GvAM/IrHm2fbp+VdvhboMCWs7lEpIf4xvXGHHl
2zJNxAStLG3NsJPtvypPvIc2De1+zkEVZ3bmnYwiMY4p6BFCGBS9rab1BFnoZfKYHSGFl0eZ090y
IevxNnJkGIyJQrRcewabMZwy2z+X5US2dvDrA6GeJFzNwbjWbfKBm0D+tyiu1ai6u2Q021OHVv9o
PGVE66jOLNUqVDq84nJd0bEb2QVNW96EYchbk1WR8mV7ZQ2Yw7jowbI1XnaVzjORo+xGpOs/Ez7F
3iuaMXQTswzi1CV5njcvzTqitcMAXCsdPlwh76oyUaBd7TpsvDZ7flmK4dCMDMG67UJkNjFRvHYU
N7/jbGBk/fNam/I8mM1vVlHr4pnmtUswMRoz8ncOaXbLMf6Cn0sBI7pD4YlDCfXz0mvwNmhOYXbj
at41lfn46pJeB/L05Hsu12scpIHFU3f73w8YfCA0SVFOGnTWwtRnQu0YAF19vM1mrp1LFuqkQVtI
2oyPAGQgiAeu61BSPtvchfVjCc5Kds+WKUNhFTUWvfQsNQSqOO651ODYNDZpd7Clf8Amf/ebUudR
4zVpdKoLbNBPWNtQbXmxD4T+tOOISMKzMr7hZTzbXC241xpPZjpPt67ufuu9tQc5PLxi81xo78v8
qPNN7LCFycuGul9LQ99zJTE/MUcE1YpxDJ3nQ2SWjGgwQSXXMvuSaRM2xxhz30y4dg8PyjuSnDMD
iyfzgs8bSGtq/yz+etIa89ti6kMbpPyTx9Z21UbE0HgUTR+wWbLuE7O658IVQBZ45yYhvqzSfQaJ
UQToR59A68K5qCPfFk+ynCAaQ/z1ahafSeHj4rZz6aYeFB82uOJZ2OlHIo810/KdYQMH4Ri+BnnH
VdkbLPL6BWZV633ZoInJRuYkiOMfJm1kPmrk1ySrH4tvsbUqNpDKnaOkYa43pS8umK6DLAb+dP0k
OI8lrcekK93DXORs77sMdcYclidSZFYVGVdCTw/XzB+DdPmHIdqMzNQZQRSOFxO8475kTY6qAmmx
lqAhH9lgv9lT8+4b3BXcdPhL0dUryKDkoMXGZ1043s6osY6mlXsYjJ9mGNTZ4i65IQbe/W1yq/ot
Wuv8VWkb+thsRaN/tmr+TRDzEg99GuEobHbqt+f+EiTP95Mr2RArTAULx42E4qCy13aFXOdtavvV
znHATGwH95Egus6cU7nc5KkgCGVlXIqNtzM7IhR4STY99jg4w3XJZACmqgWWgKFEgJLgI2WfD4uB
zQYk01zOKhJifVtpooFuq9+QrYFR1YIpolUXdAXqv2pTC2xEmKlN4xtnYQ2OzENIhrA1afUdMBos
R23DZz9+MOaQUVvpLyuGQ1Ko+ID15Axy4MMr5/UwJiUx2WxAFe+XwCBaj1w6nlazf0irgb7SF+94
P1JEuTfmXa/5IJ7tFlU+6UciucurmXhgbOAJ7QjLfxu9eJv19GL7LytXiha+FxnFlG5tW7+nnHc1
vBlJ+UVEGEwUNIKgH7jdrTOgqdmEDsDqstc1Tnlru0pYWAPly9p2cmwYfup+eS9HVi194TYP7S9Y
7Pitt/4UGdCbJafSLWUVT3oDsKiJWSYFLz05v+PKHXcZ1Euc3OYb3NmRzx8oimE0yWGwmb5z5wwG
vcTd1WURpQoFs13yn02+bmhChZnYE49uZcVTBrzxQrl7OAkIBfbyVvnme2aaXWgnzPLNUud7t7pl
L+3iN10l3Kd4knY+9KzItKwzL5u/h0vKHLnafk/f/pH6Jd1uzW2X3/J8RYdmAN0MbghQPES8+dQT
yCBOgrCfGjUkH8zjucLtnczjt7Cf7JS7U5qpdpcyXAo03NCHZFxkRKkFjLK4+RS4xQgtEPQHv9aA
s0d5qfj/FtYumfIHQOQ5FNhZ4Jz92coi+xSrlJXrT+Po3nJnn08/TV/+wpD24ejQTXhotOVPntnM
xt2+DrCG/7ZNhVW2Gw/wf5/woyZHzy3vK1bexP2IW2xiScNXliZYsBfGP8aCo4fiQtg71cFfk/el
dO4Vbq2gTZQW6jBDHVDFod0gco5+jf2iUGFTsJTp09tgYG5+WXHir613HpcpDbyKE2DCzqHcE2aM
a52Ur4uxLlFcrCcJcotRgeNRKFGdCwl53i+6ZL9yMsFV1V76tTlMek6/BHaoYBbNoWhjiEe4b9K1
h/Pc1f9lkxGJdb4P9cx42eTxdcBFhGoyV0yqM44ok/0yNYdz22Lt4fIDs7OD8NR5QFbt9rmA/Huv
7HbdRoEBdMrkWmARisyV28jUFfolS4HlSVtLg5HKU7reMPVhGLA/Umx+sxmUmDBf8XPd1qaA3KEY
q6VQ/Q4+RHLTmN9bN5fMdAbv1jMjVXSYcNxaN7+RcVSclXRn4AFO/JEx6fZD71Pz///JmkINXDbS
TuU8xQMAiHERd9lw+qIOJwl9oG43z5pfRv6OR9Ma5UkW1it5DesBitx+OD0jKOZNLbxDTPqChI3O
3t7XlnltUE+n1TRe1IwpqVvJ5o01x64JXHpo0t5A6PC3KfAg4L646XyEwTzXXMnobujSqDHMZ+5p
UWNrBVKbfc/a9VmK+So6HOLSg3tuju5xFhNKxDJEGWtpaNab85DGzXltaEcyrauAVLVyOwJCMnXX
ImZIXZbiYcXWEoGAcK7OYSzqM76pSBjJchAzsjthhTGYKtM8VktnhVh/HBBP+1785Bz+zkCkjjXF
8VfqsMT8FLvuTnlxi0kecGQyJidiRn9K8AJCT5giQJZZsrE+MhbK705q0Wq68LS30mPxG0vjQWh8
vzI1P3Y9YFWfc6agSpdZBaU1yKRs3nV1QTLRz0XdTnfoayVPFkRaKdv54PVZu/dW6+xPln+39HF7
TslndBhF0lXhFMgogzATPUgLy7toPjwQZXkiVLYSMFgWC3t6hRKICXJJSivqFaEwa3EorfZMkANT
faj0LD+Rgg9qRxg7123l1fdRxnij46Omjz+u2R173IJPxmgyJFgNQHxUWkyOcZi8DqHaWSQzDixL
lUEkwPU5G2faXqOn51i5pnnmKevOycSepJprniC9ONPDYoLyVOR0FPQoBwSIFvPIJcvC11olQUox
CU0H4sXt++beoI6EqxDXhd/6l0QHsiy9P5ikxILVzRH1SgwwOsc7+ZFswG+Xd5iV3i0iMHQM8zAF
Uc2UPibL+Kqq3tgz7HtNIZHeGzthVh1zbxis0t+51cz0XBgXYxkAOBglxSK+d8/NtQjA3YROU7W8
pp517lTzuuKvmT1f7Eu7542yspUzIowH2LVPi2vSoTFpZNjrWVx8L8UdBBsKa8NrPYgPr1DN2XQr
+JdND+BQNy6WWD9smBYXNnAvgpqNhBYP8p6WDM+StBn3I6fLS0vBiLe6/lFZ/h/d0a1fpb8++ZPs
fsueYWGmh56w7MBUmX0b8KKEWgHXQs5NEtVJ9UWjwG/YoLWPKr465An0+jO3cmAwTblPq6UO6zFm
M1ZMezj//BMdOqWXJo/Bqlhh5fjoE+hKpZj1A/YL+NhU+Ux2154Ba4vQUikxLQPQ/wotAv3XIxbM
aD5X5TuHG+eEQ53kfBoXKMaa/tIltxLxSYxaGUwTU/3aQyCUS3q1gTsdLAJMhe/uGm0559SPRAy7
lyNFjLLok4fsJc4ry943GgTE2kd35nw4gzputcPkGg8C/eO1sylrq9R0q8E+QF2D2mGGU52zuBXy
H4sPiKq++EldejHNUwovhr/ygCEBF2mLUAXUVu3L4qfLnD9dr7yjnx69WX+HoRIC4bKPMGZd6onK
C6az6ivq7ST74NV1d8VPAcr126P5SDX8Fos5m68OZKkIsIOFlVQHniSb+KHpzO06k9W0Mgz7CHc0
GGPAeyyE84kTxFvimDm2lbG4dqAkr9la1VyxCsJ+WRLvFhrUXvLi05DvGpJnymzlxdS730kXi2BZ
LZdH397NcEOgmNpuxAEiO9jwm0PHBZNTAcgN+iW19mrbtcztIUy3cpUMpZBLVNVcx1Fwb6/7rURO
2YGFCSifffPu4Jm30nE5d8l66KZqpjRjgbTNK016niaVcX6unOah53l6YSKm5eMTVOj0xSn7HK8t
IKHF93D8SeYSoPC3idf9f//kdSwE3FGzQDFVMWzPuDAY+8ZsKQ/WguwxdDeBtbhcvT/tkk2vXmO9
esb4WlpNekWe+urXtjx3MWGjuGuHQ6zRDzrHd4ptIiIBLmYDMT3hoOSqq6rxMZi/02bw3mLAyngO
ddwhDE2I2OTiqSpMAQWJ229SxvtGwN9iZNQ8UGi4JeCoCDtIu8Eg4uGpTLVfzNidMAWfeaSVnigC
tRa+zDd/nqIPyQ6JrCoYJZx3KmplCk1/7Ue3g7Ky3EkmdlhFYy1KtAaEnS2rG0nkz8JY9ZPmcHYA
4nIYNF6upfJ+5Oa+8bv2I6mX4SLG7l+slvbQpUVxt1IsTnYV12GRm+KcbT9mPy8OIGxfV6p47vWS
dXdirId+srGnj83emE1tz3oUzQ5BxbbsHkYaq7PtxO8gfoeHb0ouuMsqjwM2OafOf1nIMDvaBxjY
b2e6Iq54kzPAPnPbpntDDjQ+zV5kut0fUPXHWa80ROT0G/IVl46EeSHHdK8VZphI77NfbAoBOfwL
/ui8yRkBQT9kbLSTmCkZqnCzNdP8UpZIA3SWD2CX65DRpmR+sL4OnGeCqXPQKzqx02PvRBUcDBRM
W01ukL+E5jmuLHpLgl5j6TtQ3e1OTvRhUFfNc6WBT9vZZfIyZUH6YygGaUyCIT3ey5yUHQv5Gk7V
iq8Lh5CuWd2Rdf2oevmJ451E7XAAWyA/egstFUR4GSDz6LsljadPlpzAa1e+A3c1jkb/ykUrf/NU
fx0tajLE0DknbLs4YfrhR4NL+chIUoyaMxxX4KRcINLpwV39lYFM9mJ76sIC0J/i3BZIarr+uTYt
YSuvYBg0G/9qarfJlZqfGqYDooVZKskj62nkSz3fxy37XafaqPbMPxrs/7NF0dQb51e5lyCNLGxY
Ib4K1n3BNdLJlwejc1z5xupF7UC8Y7HUV1LVD73eSkp0IalTysVZmijYM3I67LKdLUklmnr9UqfQ
zWM+KiousR1mGtSs0mPFbqlk2rtm6Z0cWqe0dLTCJpHjkZ2W17YxaMSwjAfzbXMPFM5mOJp3V9ny
pCYZTOScI3+98y9TBsCuEX8KCx5iz7J/Q1bgmeGot3PXzSBU2pQlxPeVeqUzggKLv4m+aZBEsKfB
xKtvVgEL2QOeqbgVmFE3ZxTE76sc0ux1AMNLtMI9sxP+me38VEJa2g+Nt2+1xY284XOkS+nkAmNj
WV5O5tyKrQCQtKpFZNWntDZ0ICr6mvrCSMeSkANAmq3mpLzmo/c3Ruh48HXt21yH76lpew5rpFiS
RJSBtP6CIfTOPvN4SPRVzYx7c7Hk5vI8pkQHZPaeluW9nW5GwRCVOR9xPmyIPPNQiAATds+Nwc2k
cN0qxD31zMo0n3KLuRC0IE55O1OLJUs7OJ0B87YzYmZUCfbamXNDkMsJMVbPXgTCuqkPb846dwQu
7enCczm8zZnqI8c2aT6sLrPtj4es1b4di8GIlYuOIKJz90ccVSTQ/cEftwFUE1jVlB8Lt77UMLBa
aoZg7zXRQiVAWEg1oSxwW+vMlkGli08aLznFPMV37ri8vvMKyGxOw8J92DjvaBLDUEAaXR9OHWdr
szoz2Hx3bPXWqglP9YjImnGCyMsQ2MadsS342QKDxfQ3L/xzXmb4cxOdXI8HA37Gy49R4lvK4aJi
/SnviCOA2tKPJLdFsJrF2zwy4GNuX0br2qrAbDz3qasI5zK0inQMnUhkWNO3adyxjfHAxA2GeemV
xNaMGbJbak2ny1JIwt3OYa5g5zWQWoR+zrlQE3lJ9kpZA7ZMxGM/2edxy69s+pEY5/QXEZh2kQ8l
pr1oyYAVJPizCau8ZjHRW8SrNw3nGvP0SfRg7ybHuvZe34a2vi4ht2fSr2TEpO01LyRu0eWSNPlt
9mToMts+pPFiHda8JlLFNTwAslPt6LMbn3z8ViWneDVW6gRQD355m94Fxh3mDXiZPMtI7iphEry0
xiWdBb+WhU2PNpOTZy5cLZT+Zs2sk2x75RECntwZ7UwRyahFnZsesX72GFoL/exa9on+NnxUZh32
rhV/eYOxS8uwtZSDCUar36ypCVcNHKnw8yGoGSHd1rHrb5XPwCVfjN9YjDZI06RFozV9+TIdd61I
5JmazO+49/sQvBnRWOyuhFHmgurMVkXl9KZzhbzUiByn2i1/wFWiPzfzF/4nFPWm7sIWSzC4LOdL
4ty6EvLtdpU9MZNLkuf//eD756+VO399/hX0dj5CshlOTdbRv+dfS5J4kYLAGmZts1JPyHEPp1fE
pWH5yNb6i21gr8pavTuOc/Y5lV3mgqqiVbfPely/NiZeEABZTzEjxBxj6x1PvLkjwGjdfJCWB2+F
24pNClfZnJ3HIimfNCSIPXvzEfDoJjPQhrqm0gk1O0lwdjo1pwiTRscIfCTkMrtBU0qIZmCBNBBf
8UmuXqcOqk/e/FGnAM/PtFfTGbvQUVN3mEk3PITiwTTqGOe/Y9ZHp8+JtG2jenNtozlngcDSB9fG
mXFyUNTd1mTipV+Lqyo096oGlLt8zcYdDRDj1V1JAk1KglOYzymhPXiew1NRWH+nxXRvBfVjO9S9
KtSg2uoMuRDwgU7WY/5Vth3NM9y7XWstHyZ4/rCchjHi9PO0fFipeyJzJn5AFBKyb8wjhQLDyVWO
fCmrW+Ho6ilXXhQvWXwqgMvvJqj/16oXyLDOlubQCsEagjrgx5vhbk7HaFocdTEqTg8mZk1GzOt9
WLX1TP/bK3j05uACENjrcFJoP2pAyNt9fzQg/2NNtA4Uz+5rQqqnZNoZ2wpsSOPNhNp+MBnFo4al
w94s0v+Y8zy8KnFPhSHSPQ3Kv1k5eeT1bXKqkFQni824Q4QytdOEbItXPzOvGIomImlvK5dqvg04
ipuzrG/4GH3h4tARnX71dIieAFZOBsmzx/9+4K37cvM8ZslLVdgRK0FJ5t9KKk+OkPbQ0bP1XDky
fZJz/4Q9aLlwZ0ei8v+Ya4MVwtoIdPpSXjIbt1BNe9FS2M8KmiBYueFUTN6fchy0M5rr+yDIlHJB
e7KtUsCRAVpJGLY4yMz/nuPB/CnG3+kGyhrj4mMg/Yabn9fHhDr5qbDXpLa1fBsF0UUdSgFEUIbB
NufafiquOSWAi+MTyWTQ7VSI7kbKkSV1S3UvvNY+b6mktcuKu5ZYdSRLrr96McgrnoR9bvNVa5RW
7bLOPjQeJyLhyNvCqTnQuu4IGQGtbnw4o8WpxePpFl+l2ZMMTMZbqvS/6bjiFa0oKS2q02AXZVBx
ZCR/JhgwX5Qrn6oe14WHskchLQTiPB0OGlUDO1toW7RwOJBEKwOV/xtS42BWSx5yZuqjhjWwxs1u
calu+jqLmLv/2K2oApC2/5plOmjzWzonj3jGw0QT8q6aFvYmmKiPEZ71EySp9KacGCPh1mTCX3hH
0xwKqJM2T5l+dDT3u9NtjUiiuX2u6WH0mu//qTQYvaZbmrcPXAbLcZ4xgXWsSX6ayOvUfGh6j03V
9zZm7PAVc6akkAbGnF9W0Ty1RNxSEgl5dl1c5T3DOvjySiTllag58WeKkpkjAcJ2e9IwMGroWO6y
G1L3mwXv8sxIjqNv4aB5Q7i+2w3yYO2EcTow3YKsXq9QozBxookyre/iTg9LcmL7OrGrW1L32JvM
8tSWBLyHrlMPObP24C5buPkWtzlzKS4t8vRkKLoMkfaGQMTgcJuWkRQojySCI37rvTYOXA3XKy60
B2QJljQxvDblROdYG39Su4BfMqFihWzeFgyNJo1BvVmRf4n7d5HLv6DicW2m9rkEkYLqwn+Xga2D
vcW95m1uRLksAYwK6wVhoI8yv/mhb/3fZM2fY3fSDFoZFDkRaS2viYV5h9vaHwfvrlAoLCiZTUjJ
Ecdmf7rN/XoqiukCo/aYPA2aDbjD5WWevQVryPpKRyw1xQdfMh3GncFOkHAMA7T8lTT8ig1cTqQU
oA1xqna1Tf+yw2ez4MsGgT23HKg1clR+9gompBkcLxwm34kKmluQf0kAljNKZdf3z3O2n0b1Iv3u
dzG6/5XZ/JEIfAipxE8/QKYAibXjfi688gmgOeqAZ1JAAIN8lMZd2nzoq7H+7dPkkDXFvzijjRvz
w4eOz63WaJvtp6uvC4PVR75M8ZpH7Uw/5hyTefAkL0xt+RCJdiQoWsIoHCxtYlOH7TPQJ34tGjlw
E7uiwRZUK9757ddI/9FnMIYeM5FunuZLUuWHQsPm6RfxfV6lGw0D56S5zjwARpogZbLTE/7nAud9
WJdzjjo11CeY3FFmtpGQoxZYJcO6Wom/c75VBkHL1tYCkLTM3ajv3EtlZ798e65QsJkKefBFz3R+
nkbgPmwgrR5agktpJ5LylJuzwwy9/exU0Oh9S/EKhZUqpnJGGetnjRYR69udjv4iKlxPoEPMvdDF
T6NeM/OifOJS1pJOXAByjIm5xvGL41Pp5Ry7m/HWG//siowtbiN9A0W2O9aQpzJP/rp2HwdFSqtp
TS934hEDdUu+owncVeXjupvT5VVPMofHzXodOqhFGbugWY86PF8q+SgpZ6n066fae6NW+92RPGXm
9haMrvw7GzGuMxMjMVIJdBtgKSFq1IDIwPoIfvevvcg3bLTEXxRx21FV2GLbJyZyv0uHv2zfjmWw
8EqhOwVQL19xBJenuM25MVbFN1mrF4+eo2Pef6F+WFD5SsYQfa7wx2XUCkD04Tao74u0ejKV8Zrm
mn60EpUGFlEK7LjGB4AMEtArFyqaAB8aom5IPJdwrwd7xUxQYDxHe0r1+d4wYgipx6qjRUNeNhlq
+9xEAr5bOhvYUJWuHwejCpbkcyHvG/jxpt9MiulVKqCQUf3FAPAw0qzCuoibj9HKFWEwanyHoju5
cBVj4wiQtxhQ7SiG/+Vl2R/VVrxkVXv2Zs68vJNPsTb80eLqjQLbOKhVF8Jh7p8G919M9COiYbmM
PHyOqbO2QUWBp1/G/Plph2gVs5JRPULZrHNbY8aVEMsPRg9URrTPieqbN3t2bysM7NUvxXfmnyYR
f2mmq1/bFvEZd4B/mLv0ppWuuBioY/TfUSBanqeyzji0EQss8+wJfjlxNcsJdfoLgsUoYDS1CeGU
Zh9bPB6ObutHnHKBLpjfkoboKWPFMZ+lmPc5FAlcW4avBeXoHNquTiJHDBgSIU9UOWlfYvegNWJ7
DVUi/6KkMcT5N7om91PV7kHxYAlp3JeKdEEgEER28Hz3PU6UyNZ5OpqujJaEuRfvSbUnvrNrOfbu
mDlggaGHOx9d6mbnBmu6KT+x76ZUrnDP1xP3eaZndOJPCXKahhAn5A5yAb+0zHCsNugEVcdsTPKG
jz6msLgfLknDtGTpPf1ouHzSnK25/gz9NbMgny/irIiMhNbKPotkCJJad46EE6nxMUtzF7t0y1Bs
UocVZQklSdS98vqBc4P2Pras9Ywd84Pj0QDGRtie3epFMifayy7D36Vnv5h9byYRoj3Vkqlda/h9
pHJpY3J0X2AtH7H3IOMLdj7LxxkGWo2E59+U5kGksuQxq/QPH4Ue0o3KikShHQj3hvQifO+gcXF+
bC9NV46/jRpE/Rr4FUZiI1s22z4lIQwOn9uELXJtDZY9eCmKTpHDSusipm44fwmq62B0Uepf7DF1
n3UeXgzb/i6vRyznLpXGlWq70KOCitl3BJzte6DN7MFxdb/UjsNJ2MF3Ra64cRtc3UTTD17dH4Sv
vZELYUKtJAR280tDGj9MHEqhdarQI+21TDX1Pdrr7DIjHjNemCVuaUTgGzJ82t1y3X4fs+FboxWN
rM7Eo9P+eGn8C4yMdbIM62d0/Icqpzjwttf9f4/z9ly3OaNw2+mm/ehu59tk2THb7qO6O1CJBb2u
5z+fCKoFRH0/OIJ+pRLykZ79XRU7O3XiTZj9Wv3xtimZHKZcokVjzuB+ZQ91Rn6E+QrdiuZkrIxo
TZyvaaKh/xfST0CmIAlUO38qw8PSlcaf8TzbKDOJg3tRf+U+Ou4Sowqx8iaRP/LlD0o7o019aRX7
r50yufOVorBTrdWegosPfxq+6lh9qpTERdvE/5kxLLn/o+5MluMGsiv6Kw6vjY7EDCy8qSrUPHGm
uEFQogQk5jExfL0P2G2722E7wktvGKQkUiwUkPnyvXvP1UymDRHxaRQRNh3aut5xm/gb9BDVFE9B
gtXenUPKiwFLElwI6AEWVW8PHCEidXhtS27rrkbDT1ono3K8h3B+sN1NnroP2HNr9iHYysQv95L7
jW8Zc5gxohbP3zUBU1oQ4cvRtfHZVjhTU7TZ/KjM5vlzOzy5qC50TxfriPZNlPEcktXxOOqUvT4S
8K5wxh3N+3INl5371QFr7gmHbYFgG/AFNLPMDOtBoH7HzSh2bW/BD0e/+70rk2ZUE1cDGWNCyjEX
4Q7DabLWS/NZ88oLeiBKSzvH9ntMKoY637tjlCt63A7FPk1uO9CN5qP1Yt5XloecQg8Qx3EaYRkK
BDpS5nDwYrZBSkUlWYz0VnxARNjp6C783sTkxyjk+2KYYfjFofR7X9YScNSatfEBwwSRZzDYpkQr
PQgYTAsPqS53cbrIkEciwzR7fDe04SJ63SNLNtv0ttIuqcV6NLfYe5daV2P5iMkKSjTWpSYR787I
Jt/HBrMHTujVfnTwx4RORHz8ciI3VBeeu0wnB52vkBLBA6DQ9cC0OM7YbsuKyiIJ3C4TW9Noap7w
bt1P9TGs+3St6fyfoT08T26L2map86aUrGt7rg60bFFluigS7XLr1RVvSkgdq1f9YzoX96GMvlBd
A1vJtUMf01GBCcSmw0gaW3yKq7riJCysa4cJjgA3/bhUmMk0v8+NYJjQlKeBInJjR3Q7ZHGoPVzf
kvyFTVtG5ba3Dwk7MxMIVnnkZhz845ZeJ5fHWqo6vOcxbaWUPWRJtReudkvL7EvTWZwIiqcbqjNs
1nCPYefEBeTWLtpL1rj1d4mXiiW7lKXPROy9cUp0ImbKELBBr2cW+dErREvBseaSoKvD4QAjYFOU
a82qvZ2eoVBSPXmB43ta4TfBbR8oiye1s0CHjsB8EItyXtU2reD00HEiIGe8BVnR7RCEfFnE96z9
Fyea36OYMiQPWaimyH/E7nqLYY/0Pdl3+ATXo0Gd3ZtL2R8yVzUsTGTuawKyKfXoFvj4FD3tyYQa
vtFsShc75trYqXfSsUl2AzUuzKd4jU6bNqL5yNNx7UC6BAZmJHbmw1TRzEdxt2kBRyC3QuxPUbgV
JUBPLckZ8BEdUNsZUWls5iyMiX+3SZYpYFLmafoR6f2RofN7WVHLRwMYn9KOt5Em16kau+/V0bO5
Ebrmng7FuFZ04DeN+aPRvJiJ1kpNiu5pQ0GuecmXFmF5dnkKiLbEfkLda7Aw0Ok45bCQGHpRELRR
sDwSNnUj7MvxpU3QlVveLs67M1427hO/503uuG7KYDOVcljkhPQkGrXPY+dXm1JZz0N3FwQ/cFdx
02aV/PreYWuNq8DkHaqEvdTVI2lDlZp/uZW1HllDERVSHmKRs6T15OeKOr3i8qIj5LhXsCjC3fqi
UQNCACt8pdgui5ZxtSoRxEwW25nH3bAeS1Ya1eYI6N1AY6i1Zt/l+gmKMHR7W0cqHG2E8G2/T5pN
ClDA1wq03cSK1bGL1sK0ycyjKO5SeS1rsi6GLv+T02dF8Fmh4oS6SJYVThAPAN2KGUZuTe+VT6if
ZV1rg/K8cUn77ZgczQ2PWMpfq9lqAsKLn6VdYFLo38FQnMOeKfTQTb8LP7s2Fd9oK4aHeTQeE+42
zg0KvSnFFaiWNrDyfKvFgGgQWwGOo40clJCSLAJ2iNdmOkBwOo15HHWTml9GqbKLBHOa5592J+iY
F4wyUeaNz759lcoW24GFMBii+NP1uRulDs6sxkC1t9M04Cb6VcwgTpu05TiPz6wgcXTlD/ap77Kn
2eK2UhIeVNslzl+PrClHSfowHvrsIb3W4/ySQ5ZbzTWbcxVOuIphThCS1gAqSYlCwjpmpqpAhout
buxFu0H6YdywYrNrciLmYX3L7ZLm7tBElCC22muxEteojgeata+ebfibhikXdkiO06IiGj63/1p/
uB7XHf1jvMr+NOaJ1S9Feov8P1mNNi/WrDIKCeMA03IbO818GCtcQPpcokhsY22TiYYvhdvuiNxQ
GGO8VzQGIxvA9GQ3y/x3crfznKht7T6LgdMtmUVcw7aDY6TgTdXmH7DqKSQK1iZp/ATQx8OFjY/u
2UFKYjaMqn/GgOI/hhRYFg/P9yZF44C3tJ8Kmq4ug2LaUhYygAY8mjv8aj1X7MdSUOsL9zdCrwuP
c78FNrJKzZ5WmNRA3g7NBnkfVYTFkUm2QH6TBfeLJfilkprOOmIs0Y1MpqXrjQfZtNxzVYXuU7f0
p9RiJoFA9I5HrOQMWjN0ZV9qSCHcaVren3o4xGIBEkcLmhiV1m78hhUv2GKY8cQBuaCMabv5a5GA
N/YW0HG2II817vdtt2CQSY1mJP6NRl4gydgp9YBxb3o1OBEuIOX/O5vz/xFS06QcBnX+PyM1nz9z
mf3T9fOr/3uK/N++7T+ImqZtUisbPjRL75sU/zeipvMXQxcA5h3uAkLxXP6rf2fIm3+xfOELIeBB
EDpjkzvxN6Km9xdBc4DvsizXtU1fOP8Xoqb+jzkjruX6JnwzPtj8d4Yw/gtDvqlNrydlugkAntwR
ql371tqTan5HiMi5gyhbpuV63l1dpzpVsWaz0cSrshYvue1sM3M8lXH117vkH4II/p4mb+gGr+8f
MJ+IFVzH9g0ul6nzYv9LFgMkcJEg2s2C1uD8N9pM0JE6sgqO5Dd5CDbc1n1oS/2hdpJAkRpPmd/X
m9gZxrWr6WRwF+EXgVneqvJouYV4FWZ9utdRVuyIo2aOmPZHi8STg5d/6YkwThpH+3NbmazhkcgO
hSzuRsLBUGjRM9C+H7Ka+Z9sjyzAgeUW3ukUUKX9NE0s5aTmMEwJu52XLI+xfyGUiahJRCUTPtc8
bcMr8V0r1OYQ5iy/ODuJ/lGDDicQecjZUbRp023GmvTrbna4xtB6L23R/UBp6e5sJtjrNJ0eRSUt
tm7U+bmDkQl1QftcaLQwYEXDtjSwQPuanB/dMa8vTOBvfnvU3a3IY+TRCrBBKthJKNV+VqRhMTrX
s61vg33KKypBpjBXMM3TNW1eUxGX+BUi97mF08OkfqhOncaLdxbMEr6stVwAnaZo7gM+JBrv3bxF
ye3MBH7Wf0pYk4MZawe3OHql+Kgm/2QnzEAjabA32Rkg1LlGDpK1Zz9sgpwD0THpkXY3/ioZNBqE
rvGqstkE5o+AcbCeo5bek5DZlg7lfKwh+oTW2bO8fGVIVwtq/TOkT7fTveaYwddMzOFnO2BJZlr1
QQPEuVddAf35N9nR/g7I7EcI0m7Vahx729gLsfk++v2X1RrnVno/R7Z1DopQIbq+v3Qovzd9j6GF
Juo6zfoZPGoD885O76gq5m1G9gkZDeO5tY5zmURbYQ36yr/VEpN2My6lYvlNIIu0C91riIhd8zU3
7vTCbuIHqGILmb6UOQZE3uKP0g3HjVhUj7jKuo07j8lTVJc/rKkqP82R8ysdYlSSDxlvKINrQXCm
q16Fm0A8zwxkaB2dLCy6wJI6z9sx2SEAb1GCmLFf4/Nl6p5EogsIPMY7rGu3qvBfKtdJdkx0tE1R
M88ffcBUsjAZR5jjXSOw6WhXDCfaQZ36XmonkwkZCZFGS2SjBX6kzX5qaEMrGWGb9rSgdZgZccgN
RrL+MI9MxW40p3VmhPXFQ7S4+b6hOkBTQZkeTAnCrrCaBwgkuL6p1TfMDLST7LJH4nH3NUf7SxwZ
9c2pMsZgwHGWv2JhbXe1SlCUsRAdmOb9SOIaUJ157IcKEQ/gXMoRSCXIpYF66UwV49cG+uRKjJzs
Bgfs+zi45NNBUKTAGuR2NEtyfoc23OFo/B3mBpnAWPNB1dXHGDYLXQdYYH6FZSbpteHoOv618f74
WOmBXYGsrQv3aokem56H7MqhOEyAdcGhaN7zVHZbdzZfQG9O9L2n5iAyoHqxJOJv4k5cJTo9+zrB
EYceUFfIcZO4f5hV3T5YDa0GYSZvnh4XRCLnw64kfT6e8+hozpnEEmAX105LZhzszgHw6vThhhvY
wO0hjjgtkUxK1nzRndppGUCPTrk1MZRstDY8OaDl8tlf9wi5WEZwlddj9seLmSDn4TuiQQNUyZtX
VPqp8H/VQ0rHY8q8wO+aCXvtjOlYqrtM57fM6PKVowssiBJMWmo2W7tOrXU0z28zbtBVFlk32fAU
tRK/VGSB/J97tFEIk05Tg4R0dPE/dwjmTZyvqyIy7/xqgdWg3+AX8XedzCHaRtG1BTPIOM2Ra6PX
miAyq+M4GItO4qnqhuYQDURP2yBjvOlGqw3RXlnNO5MpKFlxzhlDrmIWhK6LRzSGUB7MLh8Sb9gb
MV7NKa9e6ujBRLCzToz7YOv8JHqq9zQ79iJjIse/9pEvIoIXPzD8ekeAiS2oj9K+oCV7dyJmPM18
LfXRo2FLx9B0ehgj3N+PWk14Y4NDeV1p2bytX5OB+FIHpI6N3W09tOAyvze9NuQMYqBWGfK5Obg2
OAw9MZEcDVUbOE1DOBv+aySB0ba2ux21LznDr8msH8YId189GopT7fAT6/HWscWBbE9yLvSac5ao
b9rYfpZ+a65aekK7CGRIP/k3c+Z3GTtW/HhmqBV77rtlOPDLqovLVL6DXBOYYsTQpGIaqBXMmsH7
YVbhydPRFkZUvMCB201Mb3kzlexbYRTvnIghvB2HNOAMEZK/gWfBc5yt1FAkFL6pr8NeZ4lJnCho
7Mg49i1Ctsq1/ECigDynywdk7cQn4NF2Kd84CZFqhXDJPTt2jA5RLJ92bJidYJRbF95wqRTT3jKD
bEfbY7xIxiTImRkjbGlYiF2fS3VWYbkHzlcWrv1sMUEd0tg82Bn5AVZXfxCPMe4QTjc7ju5vgy+q
s82lON+SheKtF2lz0unf/e3D8qWzMLu2vqawE3Y9sYiwKXQVlFVDQ6AxixNzv/IEfKBcJ4JnAwMg
/OM4S7yjl7lyV8n0FzVEixSTYPAWxS/NTbYiFAzYvlTSXauw70/S8b46OwQygC52K8sfdfKaG9lZ
Fp19yX3wXDoM57gk9UeQdEEMt1pjE3vBSWLtSc878UM526ZleIyiBr84KYsruwAdpUbkv2iKxnMS
fUZj4RzmEoVF7kXVLozs4ZojfXDE3MNF9X+Haf+iEP+cQtuJTt+fRQ6f/eeX4Yhiz1Casfm+XFPq
kvSJy2PHCe+muEfP4/KB1zeTFf9R1QbDcO6XKxP0KbAVjc7Mqa0TZiIadDgRNslEyGYPINX1XXWu
m2hDCn3DblUaKOc6YMBdBleldKH90IO/45fapiXwl2iOHq0+eSXMdTjSHtxoJkfgmBH8WHI2J5FB
vzvAwkOadGui1mOqiyW+Aqmt28XxZcisfI3zytrQLo80I7wgHV6sm8OFjnp6cuoa9+4k6eTq8cFr
xNWnbr2kvatfOuIc1hXWd7whuoZqwO7urY10y6zZqPM2AKBXnAnkeTY8I8jztr4MgOU3nciSPWKl
cB2OLzayvf2AjcWoAQsw74EasowzKFYdZDOMIOpm2KpIbdWUPwxg8G65bakVMmy6Fs17m7kdqZ5D
tGkl/9hpoq+8zbWtjxOH2QfuMFsVEHwxE7uYlrki5dluqTgBgsJggNm0EnXeYhYYnhLVTRhEmbH1
EuOyHOE1DPrJU3VI2X1lc+j3yLEJoqdx6PhGfuHypxskCGyWjf/haXNy0BGvHmHhQsSlEPXa8kYh
ekbuQHAoEqYTnfpuA52p3rDXQp8ZVbi1ENQ63BW90sZrq3BdI0awVokP/CXzi/DYm9pOw/hFRlQa
bR3rheX7oHyMyI5rDiwUi4TGhQYZul/Inzcp+dvraq4PQDucICFa64Nbj/ISL6fe1tnBLrJAxAn8
iyF9GtNmXzKCWePH8652qn/NMdcsZht+VKAZyFl6tVPxgDbeuGWad2ATYe+d7NeuGnDodFq2CeGE
7aRQmzhnHiCqFC5hzVY9pLjWfLJ2+GNOCJJJrg7ds7Cs03UG4cUzvUq185QNu7x0yHxibOVTL1k2
5u+ehip93PQjZVbvDhZOJXut4f5one7U0EWL5mLfNO8lTh8wr2X+TO7ZcRhycuWaKt9z+x9y5kw7
pt3qAObKPWoku/RRDTRoArdUjqAISi9ZZzocy6KQBybdnDVmJY99zxYXc8vQws9eFBlZu8Gj3nXj
GVx3aWkfZsE3Yk7iaXptjZjhb07UMEVxECdz/quXzDpz42jymz7VHuRsALkRjcK2+sB/FtS4iU8O
bp/VrDzj0TDCz7CZ6S1G4Q2yUHkwrbgIeoU9kqDbxyTGzzyoqPsS1bUlJ3ofMrva57AHF6SUf9eH
pjwiRi9pP6GSMexwOs06piIM62LhVFUrMuzxMLZNuAOOzPHQtbsnR6Ir6khPIL702E2+u0ePwyBf
us0DHahNFEZHg8MbvUscEQ583yufBNFUGg92YlwLAoPP31/B0jMeMPisai3M71g6ma6oK4t8FM/d
JiHCeVuGtKWTibhrbzLkOcZo4Y+JebQHLzzVoDEOXuQeEChE18q30Dr5+wxoJrySONuM2JyuWa/W
9gJrABZGYG4xvFqktSGvIZqcgSY3uybfOQbfeFKB9cniD3oW5nHJELNcKgoUrbgXUEEEz9Q8h9Ga
K9g+NB1h4pFtERXtvyvLqu9QaF5AtkSB7mgVyxm8FT1nOhOyDwWjZ0uWH8OFsBiGG97XcV3KML9N
mslUAwF2kvV7l0eSe91eabklLmml30yzz5n4UxWm9JJbDOXHuS/NI7OzZ9AO+dHVTB5waWpM3HtE
vIuS16XMOKZEwCXLwdoLb5DgaPwzJ8eCKtuXyjwyNtxJZTwwX8yOi+DQYAy9YXYMXj2tm5MwGE+H
JSxdY1vkpkXMdKMvPeUAbVnzkHUp8CdwSu+KJaev7HNs2sObolu78SamASwuA+4b44ld2nmP4RXk
QNp7qsR9gVyLu7Q2DrbpjatcCONCDgipWKZaD2VFD6bjbg8L/yhjnTq1PrQyU1gL8iywpD1tSloJ
oYezpeU9Al5UH0BtO6cqBLoTmZcCh5tLe2k9Jpw8RpyVJ5fDyXSgq9Df9TY17zlzb+AOCdUoPEiz
MhamiL6dbYhxIrdIULOyM7Ec8UOiS3YEqzqGBSQKBx9MQFi5Q377JQp978doOJypJcaLysQ7jXLV
OjQ6ongf4+SmK6D86toiLc/qO20UJEID+hEU3MDAMKu6bn1ra43o00Gif6r6FT2hJZOqbXd6g35m
MjlvJeMSQRZx3Cwp1Jftxp8wNfdJkDgNFJyJozCSgYfOAxk4Z058avJsrZGyfrQnsnoR9TrHbvgk
1XdRKMB29gGMAeLOnyEINceqsX8T9jrgoqWjhKHYFmW8GoWdHKUNmLXqautuwo7Z866YB44PO88p
dGZt2SuN5GnXuf1Pdsr5LjSKf8D5m6rJfuYZSRrATOkPjd5n6Df9sR7hpCt8+LV0p5sAKbTJXEx/
ZfWji93xCMhTIvHAQIX8w1iNlTI3s+69GFZUHoZyqG526FQ3bF7gaHJqZsGKXsUImJtC0vu1GFpb
deVcpzH0gRVnw2OWIDWvjMi+C72DG6SrY6EUE9+CbhOLCjKURmi7uIRwpk/qENmT+hAj8Iu+MyjK
7X41pAMM2Yh5g5d6RILN7FbCc1ZO2QJyaTnVwIxcteZcXsGJP5JjWjzTsqtOyho4RdRG8VxkryVp
NcvRKT9d47ionx0EHT36uABXgQvJyk23S96Dx5DlOOrgWnKd14Bv84f0JEBSMewgMCGT2XwrWBNt
OJeixTpsOeQJukLtUsUJc5hr89PO4+c8in/ONmUN7PDhJbe8n/UE+N3F7sqYhBgEU4UbRW9hO0bw
AfwSejCEnmlY2ZWD9nO2sDFpPwEcfjpDZT4McKRWhRbYfV7vLQQPiAMn71pKcuQxrr7N9c5Ixvy9
Kec6MKX6pdWN2GLTGO+18qZN7eFIqbQmWrMbRj+KPiV+RPTPVde+W1n07FAcvZtk+2wsskYOKUl4
VY3rJlNmdA3xqgEUHtV1bCDHZw5mEFU3F1hJJXCrT+Zq40ObEhE5+kwFOWzt/dR/aBJcSs3E3dtL
fHMIkzzEYKe+mnnSCLu+KtaWByngO8+i2ihtjrCcltkWtURxS8i32WfuBxJuCyNQN58g6u8NaZA0
4NTZFggkY5CmSneAjvisAj82oXOom/DRF1d629Olz1BQVF2Dv8J+gsSD2FVjZCfTYuWa3fA8Gy6U
mspm5tgnF8cfV3hVoEbPbrEdkBSAp+h/j+M03edcXXzpH2JhmNcZZ2CGgu2MexxfagZbLe2mx94O
oHbERam90isz161Di9Nr2t+6lcH5gUJ3QNcBq96J3G1vkduRpckvSGCKMki9NmSon0OP8BJNMmQX
AIWIjCAFbnZM99pFFzwc7WMdxyeYiHgRvbLeM8CJ1mgiGXBJ9Bu6YbYPZYnS1RXyDJTaOkrMWN6b
P7bIwBcZh1s2qxxQ+krXDz2DTs+srigSGaayyfFIE98WYpcAvLsXtTPcpuUDk8B+m9Lu4fgRkMgh
N2S6J4fM6V6yzvpqegGqim+HVoibOBLaPsEOSYflD2gAIuhlXx2IAjxNlv7V8HBulN0etTDI8ZwR
c0WyRcUr0LNsA04AFZCzqk0WwsZ9LlF/7NAEOKo8h+JV89zo1KdGgI9swnEY/tQ11KQznKI0cLD2
qWQiySdhEXTitNtkydStBL3HUiP6wuLQOjOILFOdnRIdbkHj0bS6VTIlr04SI/AxLEpB6NEtjB26
oBTdUAOtSmXM4cDQZkUb6FP/MVpGtqMn9dmON1uT1lrPcETZtoPGGYwljS+UzEio/XY/VujC/fTu
23Ruo9Ls6C9uhtF7IzCFCTiuQCo9iOdg0latTULlYBzQ+1L/aWhRxCdy+pPhAnoqrZ2s/ZJawsfc
JK62VMzSG7i3JceAQ0KSJ0qxqg46Mm1C5f2hbAFO6CBWgfyftGpXwiprjew1i929SOtX23mz6RuS
0EIvX1pgkskxaXiodFygZXZMXfM0IJVY5XOmnUk82QK7h9q6pAJkbtEeRpEC94no+zRxd+lq3GUR
77ffuNaaHh1mEA1MZ93O97rgHY5GlwNl+tmxnAIKHXU2BNw6Hffuo9DrbSLCi1V9NIuVds6Bd2p1
HphuYZ+yaFh0lMVV1+hZelyl2C5fh6ynVNbvQHbUoYYM4y1Bj7mr7RlvemdGJMyobw4OK8agOkvB
1Yashbk0BaUZgv819rAtOKXQkg16l/NARPAJGCaakFaMm4y+NpY0rA0I0FMULeWijNH0mKwf+2a0
+tGY431hRy2YLyBFypQQC1JS2PBcr23dndFtMTXPwgHzNTEudmJHASv/BbRvuC1RdYcLizJvEfqS
4uQe2XleabBg3h0BXEyO3NlttO09Ot5FGz/2Ic4LJqnw+DzSJLr5w/GwC3loWs2fTClWlr9rEKg3
Rb+FLfGnTry9bSQms408O31/wP8mDhMlEF0P7UwA6No0feYKdv1o2/iAeYXYjGV89Ae4lfj1aVzr
yBrK7j3No6+C4p9yGQWcJL/BF+poWXlzpuf5RKjIgGX23QFaQD2Bxj+v3JsuxU8MkvM+TLq3NHHc
h+WTpND7H43xQqDDsK1caI2e6/+WOCi34BQRL7ZQzTlUWDtyfTPmXBNpCRhxLrmeXLSRtAwVK/dS
D8Znw7lko+sqDxCd1C9mDgl4rnR6Bqo6mHPzkVkcFFLU42DsLbHS88K5RCR78W4UW1+5xtHvkrJd
LW6MDcB4uc4gdKBAYv2nyUwrIIwiwt6mC5qf6FS1pnakixedvr/sqh2xTe9JUncnxyMDSTVVtfcJ
Wwn6VF26mMD0GcTH0SiAFPro4gZxz4qY7n9TpwGEFPNZ3H1Yw/AaK3mpeP9YR2X6x/Djck/UFFIZ
s7nU/hgFka6Ph0EWD2IQ7ZPMONNWr8Wsiy/LXCcWauFyJiyGuDeBAkgVe0wZLMiDN5/LcN6DOyU2
+jdqpeoyJt0+zvEIsr/am0GnjGmSYkLQ57rXcBj3UgzWJUQAq2k+LPH+NMi2gZnAeTQcl7VK+kMw
8c5cvRoHkdUBDoA9ucbDajwL4aQ4pteh0VmXzA10XorGwrn2a6JFxkidisTZg7KOt5ypy2PVx0DT
8lo75zbLUAYcCrEXjHPi6Dd0O/IX+pdTFAbFxOeGwwPCY3RTtAfjBRFW8ThpidEdzNQ8ZNgxeOfp
XmkTkl1ZwlZGwh5uKs0nQ1eUz53VI6BSqQ6Cak6euyViq3CMH4PRvSsPcXSctFhCMgVIyErGoGlS
ASNBA1SpS5gocl6sgSnBDjkIxaw0zw2gTFey0PBPHwWSxHsbqy9E89rlvezMoG6r+WoI9Bx9w09g
r7eePYOSLkYe6oiGxakfnhHrvNv6kmdOjsM29Sd9K8GMZXFFJe4W+ckYx2olBtaEwvJuUUYCsqON
GAPHBDYDLHGXiA6LNj2WIzZNtkrTXJmcYB78AbMWMW4obsHAwBSGhpfG/ZNMSDecuWPo1whwqV0E
csE2HxLDnbZNBoW5DeVi4Ohug25ThFTWO3p1xF1SPWWtm7zUJHpMBHGc6ActIViNvwF0/DPWR59+
j7oYOu1kYEHhRvPHaaONHvwtgTdGn+AWqWbE/o6TZoVrD59wmRs3AIefIZkMN6ID4msjEODUWgdn
3rsZneFe3HSDs1vuiSG/92naHwZfQoroGK5FkwmMpZq8A3qBNRnTj94MRU2Ht00PncwFWsoAzYf8
4NZs/OM8qAfyB675rFp8/qP/IhEsjjEOckfvyMazTXXBrHQpCp2GTcHO4y+PCY2Lcd13CfyNMbZO
sDeZOrXiWaUNNUwegBmIT2FrtsjWm0bbwpZjn82ppbr2gyUIrGoFSqoldvyg5RJSYYY/skmLoygM
camzrgwK8poh7vj6KUeAeNCWX5iOKxphk/NynLnuSdQK8Amn7RYWwCwii/ezRUVje/dMID+sJhBe
I5aubdW01Z6JnHb0BER6FbdvoEiN3zQ8F4UulLdKuPS7csJ0p95CSGiUH2bqf7VlvCC3KzTDS6Ix
tM0nHpoJ3fs0XJ169s4JOOzRStWbyFIzEBOtXQBydDrtdrpnY7q1on4RxWY/VFam19xudkY1ouka
mSOZinFTUZrRG8MUah8TVJch5dnTwlVipO1j69MIQdCcJEHR2mI9a1l6GqkKa+AZ58awpnPbY4Vs
IvcSi9g+4oGzj5x+diUgoGMlfCZgiKzX8/TJUJ12oIlomM4Nhxwx4bWbsENKjuzVkDxBE3L2OSmV
8NARc4/sYryTS3iIHuiyt7E8yuIH0/fRRGWnbiGIuy2d+Bc0n/mj58U7XckfFP7VznQzewu6rAi6
Ql3cSKSPk3XBRuDO+i3tvdeQqGRkynQH4tkg81QU+rVjFGWWob2p0mY49eFIFRmHp5Gxd+XDiTDV
WNzskmHG0LsLOtR6qZJyl/tCw3g2cJna8WT6jAdyBgmZGpqTnUURjAhvxb5kviRRYV4xQCIFwJH+
HrZ02DGeHFlwTJgMCeuxBYaqxMgYgb5nslYdfDWPATRad10PfX+dYROdIt3f9iNmjnTKu00+pVBz
SdAIrKwvoOShBdDb7G7BMn/Lsjd06ceEcIhHgyovpfwDDxJBSS3YDZqQdpbtMiAhTS4nisUv9/Hs
cPtEOdZGEk8jX4OU07X5FSDbPuPlo/UII/KBqleaYZB+BQrwifPgMY/qh0Yzqc3pHz2WRZSvyQiz
dljN7a1u+o8Dr2qfizgkuasCqMpAdEUSZnrWYNzX9KeeQ6uLGMmhfAVvRVxh3r65mrzNQVYM4kY8
2a9+ke4BOfa9Wr7UcwfMaJZ0zoZLTFmwJmqyPJdJFqh61k6xCMGDgJWZYiFPPINuZKm7KtKtYTsc
j72ogfHo78AszUFruhvEP3ToCou6tVmO0OXWVUS1CQE9eMAQizybZL0ILHDcnHI6iN6M8lrzLcaR
cS0R9WR45XMd/xLwinYRk0buvJW9/maMRbIPQ2R9qkcnVJi9sXJHB1m21BiZ2iVcXvGkKqhKSfxc
ShBlqcOWEqIq2Vt0nlZOIjSwzVXC5QvBmJoDGZ9vkYrjs9cW1zKmXuzHzt62ZsnBVSzQtRbxN7L1
R/BW4pCZPsQEbpx14Tk/khml12Qifc9dMmVbJ8XxDp0vMDsPSIByHzXCrdqkW+u2F90yvi0dMGTB
/dgWqWjICaLbJ4uMYD/dOIw4+9EVWFeQ+7QYmSGtykx+9JrvHmRSmzdJaOwq1lxSQRdImROYduct
XqYJ6HApr00D5/HvhHn3MpuisvgHUdkiGfvrHx++/vWfXYtGgy90RjsmQjzdslDbVb8+H2URtf/6
z/q/gEvv+kxaXYDP48OkwMhMTBFzWcCkMK/ovZ5qvXofhuIAO5C7xHqYJ+2zyvAqC5b0s+IUIXz1
qPdMWCiKVkMV//SAf6Ffvi6KD3LGOC8X+R+Odig78Ef+76/A+29egCOEZ/mUHpYQRHP//QtIw9Yg
2EGDpuT/G3XnsVw7kmXZX6kfQDakAzAr68HVWlCTExjJR0Irh3R8fS9El2VXVCurYQ0y0iKe4ruE
OH723muXNw2VMAhEe4iBmI+6ekmM5D7CW/j/ePGMudf7f/vcfHP24en8uTRV/P2PVcDbzGGyO576
wYtNDTJzMJVPZgm+pPNFs3WG7l2LmuBE3UkBkobVA0ih8FnDppazehDgmGPz1rVt8abB+mTdvsAf
KzYjyBmI0mdiwRBV0+nmFha4+GRo1/1xMHuB/I9zp5sZ8iy18X/gveGQT0m2VjgrwiPJ7GRIek1t
kAszGnHB1bgWJYQ4/CgiBVYUu9/4bUNikd45ADTC5bYbwuCA1wE3GO92mnosq7/NxU6l8Ykj5jCS
cScjUzzmjnNxC/kWEeACSH+AKg/vadHl+c433CcziX+bIfxjj84lwb8OquZTgFSOpXNLg/4OGe3Z
7M0fWxPXqhFPGIBfHJhVys/3Sc2fUZMrm1RwpChu12LkxmOenAOLkpdQ30VjcKvGgr1o8hzeSS9j
tJOPUV7cBOiJaUg/FHqSn4gNsuYdep6170k1VGlG87le16tq9Agrp8LcEaDsNhG0NzBxNDvR3KPe
4jTCQETWkKbaYmthp1pjpZl3CrD9vUTT1hqWhGOR4t3HlPTXlfzf/ubwbP4qev9GIpVxyPPm7//6
358QFsv8X+df88+f8x9+ypmgWtmUv+3/82f9V/IT28Lmrv6/+4mfW2hL/3KTn39+muhvluL/+Sv/
zVJs/8OjG4tHgRDC9835lv03S7H7Dx0vr+H4NncsZm3rn5ZiS/+HbTjCxIFsmebsHP6npdi0/uHZ
PFB8y/fZIejC+s9Yiq3/6N1lN+IYtqsLoYN4Nf768X/3oJ1lfCGJfTEYCkUmIz9xrFh0zct8NCvG
beaG13746ez0l5PHHbrj0/y/QBmHaiCYkLr7+ZEaVdotHp0za2HKTTBmQP1Q4VXZlA/1RvbMJHcx
0l2c1mdihQy3nVg6NEN8wjKrZpdys/l334r/wxvEsXU+vr89Cw02HcIg6ujyGhO8Uf7+LOx4MeKL
6fstf+q0ss3mMFTxgFxUGAsC76vcGq8D26cNXUl3vEZbmDvJ0dE7a2145h/DxbFCNgsbYVt9dCoy
NhkEoqNRv2Fhq046LQihbt9k3djHrqAKKB1XQaHljyl9ZthF1aGd/8Hdiud4Tkr1NryVzoXQZfNG
cmsR3VUW0nmp6hp+gJ7uUV+GRZwPzU0O0U8ZNJRTO8ZZVTg0AwcKfurHx5gK8sBWJf15bMBMv6Jk
Lx8fI5WqKyoM+9IsWI/JzByFy33QB5K5dlW0xGZN0tRtcAkmmz4a1/lkh5rtqFffD8QoT71wzx5G
pfcSchYEhnTqy7egMFdU+1nv7MA2Wk4CprDdDjtzRQTVk/E9UsTxQoZ9suUxKz/TMqk1rVAe8hnb
FvnuoinVSxgZt1qUxPOqqL8OYJm62s6ORJ7Fbhqo6tFbQtF6AKHDzh6q2NrNkDocsr5+zqyVzvC6
all1rSLsmStaJAQ2rEQ/VI5k42bYj874M/jyIrRoWuSUZq9ULkzgwanGdpGaoGwkZsImIj5UsGEN
y3vy3CbesY3D9NfE3YbeNHPZRaQseyN9boXHHjGrn3Hd+AtboaXa40BxBs0eOyVeyesNGn5GL+xp
A+1MYL99wbaM/qNuVVR1sccFaSBbsGBU+vRVcgcuBl1trGCaK++AP4L/q2MS7jl7Hr2OLxTwLk0n
Z1zWn1iLLFAe9BllDO/yrFHxjHo5pjQMzzxyzoZJaz8jr5lQiqyvNMb0ZE8DLmFvOigpXjKDsrZW
jx9YCTEP1p48BTJDShxM8gN9sjJlSHQwGYqnmoCSsht5DM3go6pcSfciujpFcc5RjE5yyYfhI2uD
ANJqfcVouJW8cKjZRjUT0d5ERu76DEGIgMsi9YKUDOR0B5wH8SQ6ceKgT7zK7zacjkSDmp36zqZM
0ucuqW9x0l/TBLeE47koxGJjDujRnGaJopHZnWgdRI8a+P4vyHkBrEZ879AofVBFtNjNO6AaRqz/
rc0Cvh55L5yKCtK3JamZntCbA4Varf06pRmPwaNMy3cRwzfxm2yP8WGJxBpyhcQa1Ii55cHKSxaM
FjwEZ1sIVS3YpeLh0Obt2HgqhbwQTdsJh0M7dw5FynLbGCN169dMJZdKyhMLqXNjPkSG9W0ZmNUF
FeNims6a3a/rxN3GXbBL8Ns3UYnlAPsO53kRLpI0pnQm/UsrxFo2nqamu8gAt4nSiYoOyRfwBqxo
Sc/Qy8jtrHzFliecmmMZss4L2dLz9a7AqQl6ibQ0+ejg8YNnrlfSANtsFhkdFbn9iqPtPW3mrKsm
/rLk0y3VHOwqIIcwPWjasdSh84EfJsyJNlcGR7PwXvl+8vCjm1x3sTENDuW5Zbzto/ApjnW+MTj9
SwJ9G9w6aHUnUb/EefvCrLM2Zox/TUMpX+dBr0mJwWpacc/sSpniIajZl0t5diJWs3omzlS5rWB0
M7zm04VDuD4Oe9PGq22CiHCK6uZa+q5orvhFrYVrqo/Btx2eRsGRSwyj4yD8BdWnuFQ7XmYkVsgp
0L6RqeEsJ7kt+e2VbZ4ECoO0iWyA2CWnu1S6y2kSzUsB8umQHjd49z5SCBIINx8yjl7AulwD3/9V
yv/R/AmkAMbTKo5OcWBhdOzwEE/XqMneyVx48rWEGMr2ocTAHJPq9JPurOv0euoZ7lbS8Luu0C6J
4mvMUzgycURXvWnHX7r5Nkr3TRtzyMX2zQ2pkTLoaoAHQB5zwgrmWf5V74tHc4BspkzSvgEha9mY
fzz4AgsvfuXA2sHrQofyA7KOFkzWJdYde1tysH3UG4ByvTtAKUn8RW5oyXoqop+pNGwUwaWbRHAr
AKMOkOdWndaDvccA6dTavZva77zVXQgS1rteyo+xpteydDV93RN/6SSPF5MQ38LzJ/bpkjYxQXuw
GMwZ+dF5247CpYVo+Nci4YQ/UbGNLT3fqALXODSGB8jQBnFze02AYFhGSKBzgPqctsEKNY24RjPe
VQG8qZEUewImhlSVYuea6m7jNCO7w4yXOyscvZmjHTgp6+9mln8qqGLbviaDCnV9SyKSk4bj+I/A
7nV0c8Q8dqYRxauCpgfd6J2Dpkks6nJYu7waeOAQzAxltS5pT2t8dSWmCEa/f+cviVvLT2lRlAMx
KIPVvm6lX6AUDEiS3qsy8I+Ad1r0RffGFs9ZSldeNBFQUR9UXw7bzUyeCSbFC46iWETb5GMUaFSg
FBeeB5QXxN4+yhG9bencbZalaAd8C5tKcst0Dv0JZtCc/vqHR+8fQORk21DBKDAQgwvg6yCAECIy
ZumijGykByqJMHlZABxjVvRtQ06KuJBDY+qGoEOzyT1IejW9d4umAfCSZfMFRkqmJ2LkhcW3GVJq
5wMYL0Y7X9AdPq3pUCQdSWeQIfn2+o615a9EkgLeunBZV/AsLDqf37ReETWBJhvZ7iId/Bc9CEEC
jmg4JlJqml0E3r6NTYB/aQrqWlSuO1QJ6Ff6qAp8VdpraWIVjOrsIWzLT02rmMXEwTYK2vtI11BV
j9CRShCWrs1ijPqRlA63E6C5bulkVnYyzDSlQboyyA/kGijZ4F728Vw4hqMJiESz7PL+kVJ3cGzd
ZmjZjokSYxM5uN9oMEZGRFIfPVnYiaidbz1J0lIsRSbq4wJaQachQFz5zHzeuFM17PKJ/UUnjHmV
lJ8VSaYtyawHIkFvplIJz6CB2HeYoxmptTcUE2Rb1B0qZBjeBrvfgUMG9uXj3E6MixnaZIQqTp81
yNSeWkRhERNu22NUFcu46mkrHyZrNej9XVhlt9FH22f2S17iYZ/oJZou3Zt0VW3NjvnbS3FwibKD
kCKjrZTU0VbAs7W8XPaWOgR9FuyFpW3U4DH1xIoWIDrACSmvPadCZeIlkybqu/LQr/wpzTYhptlm
ptVXw2OmApe7IaRDjHoOngE1yTw+cjGmM8RAyzHVfiQZcytiMf0Pw5cHNHbFU5s2Eo+XI/gv85G1
4d2z+zNWqfTea711CSmQMwayYp3PCsjBRbyvMrPaZMreZFRVyBTZGVz7RVTWuQ0EebWRmQZff0+S
bUkx9W4KyHPkBKloEo1WiYO+EDjm1hs4JWBQ66aBuhjD/WojhqfC1U9diT84SVtYgkl4sgvNvPrm
zrOH6Opgyoaw39PkiEvLBiO4jXpBmnFA30LpMOlH50zVGJi99cEEOkQd4uzr1llpZNSlEj86piXw
zrZ/9WUoFjHLOqxSoLUw3WnmRjrrMabrOJfhk8Viv6vi3SDt/kE3w/4BJKyzqDqZ7P2WnSOeoYg9
i9kfk+o9dwXW/dCtLxaK/gbmV3jPE5dke9LnWyLX4pCM5k9F6TZcMm/VEZG9sCT0ZtOHiRYox/NY
RON54gvb5V7/ESuk3cX/+gFN5wlEeHlvKBx0Hk/pKS83k3K0B6vXGN3QzxbCr6djCuwFNQhPYGIY
BZYnOiJoeWrSyXnigch2hm39AtXkXseBfMgsGa1Y4lPkULaHjsZXtlbNrbaRApERGO+qaZUY1fhO
R8ahN9yP3O7zfa7XdMr7D5bMoss4nGCeDqs+g9rCtosbsR0+6il6YET/xLf0ZRKfABUtQbl5Xwg9
vubgu6O6E0sha/7G/QljxQjDunXsQh7L0dHp3GBuK6V7I8n3CvPtMvDJTJoG5ELrg2DoXU4Ftg6y
rkub9ZppcJKeJYVY4DEFAt6axUkZdUnJiI5Pv7y0VTCsMR0CCTAyAhHhc/TenINhh9Vi7Vkm5Vfq
2uGa17Q3WoezXW5b2rJXzdOIwcKmMlMHODjHTY0VegGNwyP1U+C6wiKAiFdGuwFI9UJyG5RuAl/M
2k2WCwdLJt+g866jhWsaw/OKOETKSSY/QO+Glh3Zr44G7trT3x0ykVHc+rcmFauuD8hjFpiF6sa4
DoSOF2E9JhRNDuG+HQBxwjNqZBU/JgNGD+I9Pj1liIFWg2LTk/S5zOiLGY6/BtTrsHPIHxJcmec+
JAzaIKuC9ZoYXO2CYh1/+rWqMtxmlDgsc8PCC6unX0X3WicRXC3+Zr5Ra+goC6+q863v4oPhNYFm
UHcYVaC2oXaAvu/4OX135TodoAutcbcwR/FyoKmLtWCtjyfeWP1zBrmKUWKEg5eQZQjxBT+ixgjI
llDPzS6xb6ELEiAO4gvZrmfHUFG3JJHFt/6GxBju0p4CEEW46OCLd0M37YEkFCYei9JuGj4Ga+eW
WDSAZ/LBQZTAQzzMobQmOrsFQA5JnGWXlNNymtYi7324z+nV0KK1nrT5lic9bt1ebJOfAUUiKcZj
EFV8bIRKV6KlxSjUYIDNpazEq1Na6eFSmrupm34mvX3GJ/Kpu2rReV+Yub4NSedX07WPBEVBDRea
schK7xD7rBhoIAo4NyQXL8lW/mSdajo8Ei96CuoQ9LzZ3h1/uPRehpclDOQ2NDXFQC/uyoFETtRg
qSpOSNVA2aakyxyDDJFWlfVLCM7kjII0p92ak54IVIn9C0dsvWUtDGQ/yuSK1rt2W/s/XWVG5zKj
IxMMGiwoTWCGANeGuEsqBAsXT/IWyFwOAgJvENHfZU5bFHNu2n5ztiONbLZqwx8XLrrE9LdjyeCS
xGDfhDm+lkR9DyGmrLZf2X1vzPZZIFgmDxyvowG8HboDLXX+sa6ccKVNAT3kc/lDAnm5ywvn7Hk4
2uQU4M9Kv7Ca7xPT3uWpctBM7bdcS6l3gnIhR3NPl+UiBkRwtetTrEa5DUo4GT12zn7a+SDHZnDl
1Yd/sSQKv6mH+rXT3IPfzJOW0s+w7kiqBe1bq7fQQiNQc5oRvgT+b0282lcccDpNpMsmpnfMqQV+
XPWoAhWTxUXqGAQlxWwYVj23t8kGDedena7sFmaSnI5S9RwR0zMu+U2X85JmG73ycKBygQQrPyzO
tiZRLkMOdGLEssQdHULpU9q4dUbvCRJ9d0oIKVK1GGwoc4gXwOu1k+E+JhT+kNvj/MPR5MRYa+Tm
2gWZttTKW+ix0EeH3QSplFd60WaqS1KQyYZ5RNHaJgwJYboh3ZB9yXnDtUl9AgC6M1vJZVdlsM6m
aeUP0D1drTkbCuivQW8QnM2bYxkWslDmsX3g7avPsPiWDu0FsMTg6hLegQ/5UIeVca8zwbgVlA/R
mD95fv49Mr3B29a8lWFTD9jqVNe3g/FWu+K90kzSIya1BoRlkagyq1oW6ZIP3NjpXJ5UjWTTuk71
PeCdRdhS1T0HgoECy/18qWN4TXa0xGSsgfDm+q6RHAuXGvJmqB8bt/tlWgbsH9byMcANIgqgeJZh
FxdHHHgluket8l6cQQFdkVQFF+jnvsvQWaIDrabev3NrRGt2zNOxMRprX4PGFNI7SxI3qNvT16SN
wTKtghB8w8Kwyucc7wpwIfjzmovzmT7cBVwrn7dI3m2L4Ze7HuQCHaCr0KaPz5wuvmEPR0+5tJQQ
hLT0dFHrLCjcIv3jp1VD8Ed96p2uP6dCK/HYUTss6mS6IJpTdSRxtURS2Pjq9c8satsTitqOd3q9
p9i2W0To9HQxk+ONA3UN7VeK64kbVganiAEGHc1daoe4BJlAl+2btOoHRpSbbPxxR0QTbWeY5vBe
069GurWJTqY7y08u2Ui1Ba4kyuASOIDYfSC6dWcvjh+HIT5hLisWBWZotE/afDSZJseUyo3kFjU5
SZtYPpbleMZhmG2TaNo4JIrZofTIqlPxDEwpWk8x6Jy+o9sGBfCHPeJajj4orJT3fINUNKio5UGw
5o9jkukca5maprUvMibwKR1BZFS4PVkgkgPw10BInA2hgYlqEfPFiOyNzsprLUCas+KLeBs27jWl
eQL3f6lYW1UT2Cd6RDXcPWwEn0JW2ssyN8R5pMGP0NdmqJHJhqZii0JKfhuTZQ39/ESs8ViS7YVP
mdUrnd0eNrPwRUlgVBnoXkIFMtgQswCpdihppTn6fn3uU/fNb7ptbJv8zTHPhMW1DaujNLoHg0Ew
5dg1hqfez3ajYXbLrr6FvFgard9ok/5F+2y1tG2fB3cNqCTMv8kZHzRH9gtC/TuQgKh5ZXpUqnmQ
/c2b60z5JUws+Q8DEtwRf5brYoyMvKxYq+oW3xTQ91nZ3ircMUubeoA0Tp84R0NGC5gOSnmOebeX
pchXqMOQzcp6NTlmBXtJbPlhdynYfS97ZyfS4p2bc6WxRdvGuPQ0Ey+1TE+CBzsS9tVu3GzJ0KxQ
PVM8VRbBqlHwnPa9YGNy3kv4FGMnh7nIvsffpzr0UWvkhTRLAqPbPfMZXznSevwGjMyminifat5Z
ITaMyn6yMHSUuPxJ9uH+xviKElC8gIt7MkoDGFl7NPPqQOkEJG2/Zc7DLerq2p+kc34InmP/aXkG
vdsej+C0Gd4aoW8nJ6DwQHT4vKX9NZgvjTD2Qc/nM5HxVNVGi57ajFBSAmvIaWf2XG6f8ZJniy3Z
QWiFpM27B3PcGpCpQruV6zT37hhAOFgRyEXjYhPH5vMX8JxkyetCAnyxjf6N6uvXvhJHy4Lh63Ii
XNIGfufp9tTQo9za1bEhlSVgzjDQIrfGc28N7xNO59RRI6Wy4zXKP8HkQY0dzEPLyLimFn2RMqB2
YLGKAbNxcvHLQu5sMiuZrl+CKH6pa5a/HrrWogWHQek2KWSdFX+fjY+wt7+TihLI0j+1bfWasJjl
mqDq0D92pvxxjfSP7fXFqqyrOyawVzfCGlH3Ny0afuqa+G8sfntA4WSlOHwWp2ryis1EsYPDaW7L
Vcj+pFhzuIbu4bfQvqPh6mQlW86x22Va+aKHDhefpsUMK5mYy9AwZ7sfvhOYq1yfHqgbJ6gtxTKo
QneppXQ7/sX2KyfICEHHPthyjLcuDX4yTH9443t/Y5TUW3EkX5RtKzc6Q2kJTXaXuiA0ms5iKXUm
NOUerbq3QQTIo+a+N203HKVr7Fiy0NnrBvQoVVFGhEB8dHh4Fw70nIbU81i1I0mR+TFZEUpOtHqt
Gs3cB5FiqRHDPFDta6wbTOVZ46zMBLw3l+nECXI+rrx1rQQBLDBspgTk1jh2+43nEXYJWi/BSUNG
zo60hyQnVFekr2XLatVQeb4eOXcYhMEPEXmSBak4fRN2+pJdWIXVpaXoI2fkMF3SoT5jFi3Q9qEi
MrE1OmjZg8Mjw21SjH0ad1VJW6UdAHaEdrEhOt8dhmnaU0LasJ9S4xk/2WpsyqOlNfl7kU6Pyn9K
cN5TyIj1u6AxhmCeVtNsRSNKgR13YX1qBmyOSJD377DdLgx3wAGdvRFHa4PYoL4ZSmqlpz+W4xzb
nIOh86pqOpYCjtULwiHHrjRebPp+lgjvEht9sxv9FfsPEnHU/0yGbFcqGKqlq+f+ypjjQqx2yBzb
1q4iwY8uRPduVzgfZchbRpbD58BO2AUk3zkjqHiDWI0avkycFlKor2Kc+q2tpRQd0stBloXTQzAB
u9PsH6f3diGmH0VISELrW1XKBcpiuSZHuOqREOmfsjF5RZf6NRpthqwxNXmGUG5VVfPjtIBcWphs
RqKWRF+nqAEm6P1CDvW3z8cjx3pxLjDSCWWzNUxhpAU9X2jFAIBbjqCfF+TjPgTlAZkwudFM/enm
+barrBYcLSfwyIwfp9bUt4is9WFgPYjpnrRVCo/W0IKT2ZdPQgY6bWkzKbihPZN0MQvMgFrAqHgj
9Ap804aYHEj1wxviwiIp50oC5TF1IIzYF8Ylw4KhDewXuTqXWDjWBdXaa83Ok60WVh4mchafseat
dThCq8bFUFlDIABUTC9wnjTXNu2srRmuUvroLkNI6Z9JcV9nRdd2+JOI1HtJhztrVH1gRc1ibQAD
M+1F7J5w2hcHWNvGoa7tzwxlhzbvJto5ozxQP1rdbD35jSjkLjLggpzIDFRfJiAdFGRLZeTmm8NC
fWp99scVePQ8jXjhKx5TrTHuZF0cCFtM+9Iq7EPjRqvRLhq6/fpuU2Oopk0PQW72rfMYdhGc3xm9
xSFTTf3U9y5nqazgpT16M7VV8tkEzTkrwv7ccM6nTDoHCgJFnth+Szok3qmpyB6DsuRFNnevjdHc
wQyWpk91OMKR9ytanrym9+LTvrLvGBz3XSVvHDhvKbGETW2PQIe9VcWmpBnsq4nSc3NdTjB1h5TH
zZIxsMJaBRr67XdVcsxLvwLA6h9cpjyWa+1DGoyEnTSLeUGsO1RLx2u/4yYTxynoS6w30BGMwNbJ
ztPJbpGML4MUnuUIBEtN0YtTleZa5epPQU/bsuRZfqg4WjNwRTiDy+jRqgd+Oi+WJZCaHz1CqhCm
JQiccwhwmF8C9lJLz0a8c2TCuEC/W2IQ36AmDcN6RAiY+xgD6SwCz3pY3VJtmhVFf4gljc8GXgpm
w3S6ezTU7+vWWWYxi9s2iVOi14XaFiXqeUh5DOB+JDp2Rm2bBwuwFdbCQWPBQliusVbM4E8p8eHW
FQ7qxuGKstONCKBaEaayuWMBnpD/tc5WSDmK4ZTTumoZNyP9QtFSvOMoxjbT8uNVZ+g+LIynjERA
koXtKfABcEsMCYsUWbAfmU2LtL/7Sd7Cf4XKIV0s4Hmp7zuZ49aIeCBHpvE8g38C2/11x865jIV2
78seRdvQ6ZRP/e1s4PPcbDgEExjXtG6XeSbfkqk6N2GcPIOiWBDT6x5lnADFy1pUlQxao9ZpL0nB
FN6SHAQYlgZvosRNTdDxbmDl2GqaXT8IM/SOWPqfSwp2imx6Ddzi5HoAZsbqTwboIdOdu+q7ldsF
7C6di8OIsNRt687/06GsrSJFAhq3BbQh6a1K7G26yYdeEjRcEamB2BU8OLV/G2BH9/ablihq2AqS
MH79ZtvtDNn1/kQ52axCDAdJKGPRO+7e48m+oFbhKUnp8o7/BF35GYe/IaC57WwztKV70ZR6o4SC
LO6cwcanwTf/1XT8h8S3qeZV+EVjDpmWcfd64yCj+qiDOCBjQbgdTP0x1icsdfGvN1VvPio4J5xf
OUW/Fg+YAC13Zsq/Nw1jsQuHQGx/Y52VLYjmNz3WvVUi9V8jGff6mELbUp8+2dzUAg0ECuPCAehp
0OuT9M29GWenph0fx4+G5Dpv7kktBpL4laDOjFhWmb1DQSrnHtaS/BrvE/6r38TftjfcppTwI/Ee
cCp7JmW1HgJ/Y6sCOKCfENoIJnmmUzG6gXMhjgOkoTO/UHnPqBD2C11Rv6rFB+InzEZ439tzhi12
6VTjJSYTw9JLbQcqv7Ba6PZjH1H7aTrJBwxhYNeU9a302uaUXLjymhjCOBE+hmMmACRzQNtwHm6u
bChaX7kscL3pSBhwD9PmK0mT+gUy422Y3p2mxqyaAA3rYvwO1VC2uHGLVSfs+LGyjQDVD9RSZuL1
ru0qIwA3FLvQN77on1VrSfPHpQn7k8tu6WQa5HIct3kyePIsDBs0R1vFzSoZa2s9lZJjHhF8U0u1
Vdq1+tpxmHRE6H2GZqUtQ0McRoH0ntrgX11qwqxx7tLN6OAgnpxu+LqdQ9Qj+mjwuGv8161kAZna
1a7FRLA1AoR3VY7VQUR9Di/Hu06DHW47MeAH5+5d1U22NZFRQzYjdFN5044S7Qv8iQrRkSm0Us2m
CczxoEPeN/VvGRGxIkGT0DhYswmKg5XN4pCmT/slHIC8dWAAwJVtSbcgbFbRPncbviye3/SsODSu
AK3ictXPZK6CtRHWh9qNlhpHis/aIOkKmdElc7oFeBexBZ4Y9XIEHzsfBH0VnEzrDN0t58m1FK5z
bkEpPDlQ5TISrjtB9iFMxvhNVL+saUlmRjqWGvJGCzBqCEDzKWUI3+LcCHchbBmkFOfqJTxGErA8
Rcc5GR4OgZ3x3QxGPELKi440DzQkI07+7HQZp3i6xZX+yLsGA02hadtk5tKLXLr7wR3oVZmIjKK4
b3u/NQ6dy2EyEPYNy0V77JUtN/UY7+qCVb1vkMWIOMjtzami/zUswWd1LQ97SW22qZwEKcoPLvgU
jPNITI2yiQia5LtZMEnZhtfS2TQW+9HkLEjnN1tPRhWgh+pkRphQbWW5L16AOBuRKV9K7iwqcvSP
kVhA2vXTDxHje9unhxT14TSXZDw1HozxWFJFImKkoqSrVnWksJHEhL0HBw98KL66gV8v5TysQVj4
6x+TGJEbicAr79mPsgcGP3YfntqRtAIvN3jPA+CQhaJk3Oi8leoYyBiXnSSjSKcOYeaHPp0hk3sF
dw6qrWQOCUYGpZT0ZMoyroc29842gfMGv6HvugNuH797VLVzgnINyoofF7NTQtm/xMOXrkmDW298
BKMlXgZhoQladP/CIxV+9MML1upwIcja/SWkki0TENALdF+fKg7y+liH+vJP0ZCpqGqf+54Iae/B
IPPTx9KNWapN+wC7DVhsy9g5wQCcm4ZQ3mjNGdoEZ2EsVXsE1nOPzHggpPeWV/bEwgpDoetVT5VN
J1rt4SGxbS3hqfATWvVeKwQZy4iR22z7W6p55jXS4qOZYY/oYqq7y5FaydQ82b33oyGlSq2HA81B
FGdAdJ/Dd4iXeJASArmlmX+RU76PetIvFOsyGgIPDpxUr0gcmgr6e181R0MEb2Y/5su8iHZcMR7w
oXYgsatQax37Tjv7wWbERBkJFoPdlKsqU8WyVaG1ylufEokZQKSgvlPct+aFkC0mAxkKv5oLbmMN
pDqcZd92qbn51QEWsI0SF+FBHXgJlNAzox+a+bYV5BfgmlxCaCY6Ag7AScqx0q8mIwxnT0Q9pkob
ydOS0UK+5KgkIJtr1BuRKAGpwcqYg0oKulDj4JCAhQP7HG+6qr/qDZj2OJHxphq4h6qy/xzBVdTV
a1SZOBgdi3iTDWqWjTuveN9eSmnx5KHATDlZuqKB3IZ+UtynzPuuk/6lHakMaqct6rW/nejo5PMd
GQEUJgpp9B81pStrmEOcn02E9rDAwAU/ZKGZwOxiWd/9HI6Y7YaoIZP9a0VsBDEyMh9KDZcTM9ZQ
gDiK3/ooP0njONb1YzWoidGR1UPCkTDvtE01ZTcNNAtRo44zscEVtLA149PVy1er+sxK7leRJxtp
ZbCo64YCngHRqn9LnJ66jwQLhU5hagT3zWzDd+M84JUMaOllgC8eBwu0Ql9aeC1b4inKeHT08A1n
3LByqt8uLai5oolsjXZ3lzgZFwZ9O+vY4c0S07Fipu5jpSfvbeKnS7LcVIRByJG/7VD9Bi70jhFP
R6uscmVg6Nx2o/0yNM608M2uWussgnLF0FxYVgXyS98YGVqMbAEXxOIDQe7XQphYJAkaQ+i6X6FL
KWyjX7KpB2hnk/fuNHKxKM2sLDgwTNOjTNi89DQmILZ8TRG7jTqittVBkysEAq4WMmnV1WCsTd0/
NonxrU3+W8N5d2ogwfsh5sq+Sx8yx34rdXaBXYkVQ538SH8k9i1YSvq0QEbaq6mSJ/KjLYBjirYG
jLwi/Bwq7pquV3uRPqXl+Ia91txwva3SoGWlOEkewL2xglZjxmyid6NkUOwmYS1jId5QeRP2w1e+
0BWFaYy4k7H1w+pbhbAJPCL3qVpjY+MlLwq8zGPzmgOET9uuP/o95S8xSpwyt3nQ2ifo9e8Dfl3l
TBduD+j8azKC+OpwBSLG1NvcbV+biEvZBHNqTF98L5816mFAW/8Pos5jt3Fli6JfRIAs5qlEKsuW
nNsTwm67izkW49e/xTt5g+uLBhpu2RKrTth7bfu7YKaKB6miaAXuy94Ztwiy7oB1T5CRiJuZijoG
hwWDabrzZvAfu9WwzjpcFNV8LyO2kl6xQQETHedFqh1d6qWL8mtBjOx2cEqeyOmu6ZhrJSCQtp2w
UBIn4mQdoHU7JH1RQtIHIJi0L6wy/jGINzcj44ALal67aTFRLxgxsko1O29SZIijEcqi5Nrb3j8s
pNsx9u8aJDZI+/ltoSRGd12hA4NgcDKG/NMlJLvWKJAVqIUuy1l7LavG0ySeYnldAyEiIV5Mr0qD
nvH/QoBnwCNvrDqGE6FaoakB5R9UPuyyWvwdUfPk0pH3CeBeVrcEVsj+nurOLScAfseYj8iIcb/U
RF3PSUNiNqw5CD+nziL/TLHjQEJq8ETZ24ji81Lgb2//xTXNVCaJwYtR61FxxAdoKmv263KK4bv0
SXJH9/U12cOjVZw9Fm9bwcxhA1sWrYEsis3E0cJ+hxwydIwuSgzMtFf5M5jVT9d06aMTxz+uqs/o
8YYNCbx/vNZ7GVtOfm3OQDOP81kyTktqg7klYVU2EVYmDj/2M0+kQAH4IO5JDqCPKDpnanyESLbc
IhE0cYr7FWWnGXj0Lq2NPtLC3X4s2+V9Wj3X6U3zjZdZQMKzCQYY51WlbeeXnDFmL7W/qU9qFT1P
ijEQBVgRk+8E4TngSfqNUREyKH+U86CxKNcPo5Z8Ng7gafJddhaD2mHOVlZ7skGnucOk3fCrGZHI
MqgPM/MtUtN+7FHsdE7DKKuDsatGts9Dr190ER11t/yIpdXyiTZrCooiWCKAc8RlnYYBkFsWLtz7
WCjsZV9PkIUl75wFpCqLnUDF2buVOHi8yuuS+ObWq+EoLiMO4pmAMMV60QM/sJubDkg2V2XpF6eu
I2WTvw3yO/pEstMhtgi8yXrUmgXihqoeffxcrXOzCOdcv8e1bpB6Yrmjc1DqJeuRCbS1eMnbV79T
gYdZ2lfyDV/0BBECt6bsEIHLoi0f4WHeqHMxtC6T+W51bO9Y2Ld1m+zRcqFY0Es89k39lJjRfPVs
FfaQ0L7KXkf147SIIzlqdomHW71o2K+WlWCZbdUCHKPf7z2rdM+uN08BZQfb+VXX4jrMXbOohTBi
xf0ne9JDuZiHynXiNTmGPj0uuFFbkF+9Xg3bvqoEcjmuXEs4p6a0Eeo2mNzhJYxnq7PeOlCTWzyG
BjCPT11P6et9zgS/1bk1ZEz43YBQMgXN5pSVe3CMZd+ZkvMOJ/K5TyYs74O8mOMptxLtWlUZ+KFo
hp+DHBOlkRXQ1kU4LCp5YRpFPF+9vAwpDaNtVF2og/PeiTVynba6eRgiccRVRIdV1IrBVeztxqHA
2TO16UW5XCy4tq1AJ7+cQsL6Q35GBJFpeu4iUieauh6elpQa1fMAOEBL28rcdi5oMGnfRZztZhaJ
e+Yc3SF2WuOZdgGtY/kvG5kpLDTIXVIfINEb93FEKm70dbzF/3cx4LMdeYPia1FXfGh1iXm6fzL7
uDngI3pxYiYT0iPILCmQE+AhSM6VXV89iMGHAn/HRmOguauNzA+jj8x7VrEermqIkaU1l2YfwAnm
UegJC+Dw3jnlczmXQKt6qu+FSbZEh1zSZ/jm9G63JnK2gBIWG2jxx5zozhal/nkmIh79Xx7Fp7bH
FDABEgti7tt97ZdXdENolEGGaDrmii6Pz4lx4uPJ4iOhx5iQ+QMP7j/oP4mHJBiF6+GaafKfY3oX
8A00pJIL0J1ypH1Y0Dvr4iJwIueK2UlGhq8Y9e+OSwoEiHhI0KLihtgASDZYHfwZFsRFSYXRA4CO
0y0YIFV/zkCzo/yCJxRBz7XH8pOscMZrzgjPCMNP9JZO8QkCwYeXkbRr11yQBumWf2XnXbHMH3NF
mqKB4cJYvpze39VV/avXjCHq1mQHmmT7fia5rbRhuHk98HeDEttLiQPAV7N10jUDAXx0mOVsBxQY
PEojLR3J/Fm4PWmlt5M2LGe7BR3S5V3NwLD7nQqbnM5BWnQsBCqESlrOtTcafT/G+Q+LLjNyjr4o
GOD45sm3e/ihfcr4Mom9sPMiHKoR9jFzRfoO4jrolrfjaZvDZrbDDoz/S7rGv3mHLkGeB/7JC0xN
fxE1zm3TSJGXGPLEbDMOspZ0Lti9aOBqAgMiQ3shFUpeHIOIZfT9dpCkmUO2D4WLpMm3Pb1+z4bF
3DmwqBrd/nFWrYWyY1DfswXyBJtH2iK4APDl1rXzxzaWmjU+qudaUmIUvvtnpcmehNuQUpDBOF2Q
AcFM+MFFHAejqv9WXgxlxMt+ocDLvTdIRJN6Np7tY9c0yZ0Zzz5TvnHVYmmwoVEIUN2xDAjKeE/m
tTI4W1jWH0oNb/moddoVkTXmGDj+wLWkXhMIUKbXxpEtjyWIVJzi4eA4pwUK4KG2zCd+XLqylok/
0bqXBGz6Ftzah8mYs9Oy+2Trr2NmMlrSJBvEjJMEccXRrqZgzh9czz0UpXwdysdujnZpPdKqdXm9
wUyowFxcY8K9SBoaiTBiO1h30auMKLjxrefbbNWw2vnJopyTpcdHanJuBisVNiU82bZ7Roe5teeE
pXCdvMgRQ0sz+u/EI7yqyvhLRVXshOY/KwT/24kBExd5cjaqdggnHxj0oOwDcKSZ0cmQ3d3EP7B0
fFqk/MwaorXg5m/cGW9KrGFrqnrmPGnzTwJg1NDCBFmD04lNCo4P9rMWuYHNGF+HxmEUjz7w4DbV
gyjQoePcOOd3MFYlg2/sHwAu8QZr2MFWNI8NHG2NjDP96M12SF6OfOInKcQ85mRbU8cVYVQQnpvG
OwudDXOFQgABKNYHfdsMdrMvZfWugbUCOjVGh5Lhz1ribpX2O0eKXx3uOw4M5CsgUY5eUiHtGoLC
ImJiVuuXgf1zF/NycAluLfomZNl0iV2C1sdZoVDEIm/H0a/3q1svVBOaVNsvv7o1jZZIE3YrXqE2
QAJfIc4Tr5DYexdI+BZtpNwNY/5nJEkTeR8/JcOIT1dD4VAvPgQd0gl9HfJpFcyQ6sRM5Cm0uBv0
8JNSOBQW1jjpw0JPQHhd7Ox7mX8n8w/2FnKpG+pCsgeRy4GWi+2jWlMt8sz6Nfr2irGOFPCsYH8y
yidtlN6hMZrTMKGrJHqP2T5TPkAKmawkxh1xd60CEWBUh5xjlKmTwcHcE+PYyPlxwGGyoaeD1cHQ
E9YV6JS+/kMIC3fOYPzak/1pWaREs8V8RRGFYArfoT5riIcJ/qQ2rk/rf+xXsEERIhy1bAyrEUGs
vHpylptIo3voeQ3sLbTdlD5MMd5ZTksVIA3UN5bjXZLWB9xJdMyWcdM2yafyQrFMO+muWkuLJLx2
/AIfqO1kMQZUkMzUqVYq+DXIoPLAMyJvF6N6zUfw4IP5DEr+hCXmbMziq7e0h36dQ3on3PGIwSfz
0ItC33RZfzdoU5kcPtokDPFUQXe3dgbXl+IChAXLwt1CUMAGzQordCm6tZxH5R5b8RYNgjoMPOZG
1xZGEDm8z/RkL+Xf2Y7S6xTp6ZUBBTcr5ohtndxMAo1b+qadFU0s66nlArPHv1nOSFIVNAwWMDrB
pe68DtHs+awyPlZRc4S6QPKzoBYpGDT3zrua/JDN7652wBpQxR1mC3lzicgX8d5aUosn9JzmRu+4
KwABuUmyty0JjUokn4hpnvyqpwHL+y37i3Kr9cIMHdRfG2D7hoJcncL9ChLviIaCib93x6C9bbWs
DLWuQ+To2XtFLr3hls+xpn5cKB7bqr2bsiXYzm3Qi1WfMNeJPjRBkpQlY4ml3yEXt65V1GjbumlE
MNUpVVAO79DrxLdZ8curmm83MqKjjOdtOzKrVQOfFOhffNybS97W7wJmk61zpUwgv6Sv372qfXYZ
FYpieTIqxpMJOxTV0NcZNVpdPX9xBxP/XZ73QVfooT7WQMtRjDCoq8K8mTUiDOrjkHbeHp1+vFFO
jPTfkoooDEbCraEvh6FhcTg3+SkpPLDfBt/dcwsEHoP+1sE4GnPxoyiGd5q5mtJk91K10Tt02RPG
vlPZOhfawneVV5uoLMMmck7JKJ6B2+5TWdOQ5W8O5YkZfcRx3R3zZqGyytGgkNeW08iQ5jm8NLgm
4zl+igv5OQNc2rDdfUIH/mL6buhY009U9mFi+CfELX6AgpYVkjacDFaR0HSYBY7c5WK5Iy36znMV
1kx8eN67MwQqJs5MCItl9fLCEYLoYZ9IXrr5vNt7NuP0U2S6bUHvuyfWsGdMUNmpN2H8L7CP9sBG
tcCpkAu5zZzueliDe01oE1x056Rild+SCqKdY39OQ+6eoKE8QvLCneZDdpfwYYKynCcwgejDbYM0
JQOuRQF3LTBoTILps7Hie61QzfnLydOaeyP1fQQWh7RtjRi89hd/C54UjfQRnezUrmLWNTXtntw6
JpDuTGZG/jrAhn2oInN+rqJHfE4EF3YaBKAIJdZsMBI7z31J9FTDhHUFfrGnQ8ZR46taKgxv1Uy0
z38YIHfnWwaIO6vycYFrr5PFTr8Un2mnPTWFeE9dPglpPiH44LT1+zFYSG6iFtguhluEzljFhGLY
fxKfed8EpBhZZcaov7J3rouGlgUJ0zoisXAqB8KO3WPteyeMtbhddPLQqSi3TUqVFkPVqtd6W9Uj
UmnaapsBLDKyCFImDxf82x6WEnd4HwcwspoLmOHoIHT3ObLjY79AalRMcDPDJqVGO0VxT0sy8PAV
OM2wADaXBbLAaY7HozfBgyyiGuge3NN44Uz345NhyWw/otwAVWVdG9X4oT6jkAZz6RBEq2g3HX+9
CnLMkXO0B3rIfMBP0nA0K5OFV6yOlttSmKwnT4WVxKS7qW1LwE8tqn2rm4csVxSVzPdCJJK/xQtL
f/3OMPiRh0W7xCxgDaWMo6GhlKuVlbGhmv9y4qWXUY5fs4riXTy2066tSTluyUlDTjLqJ5BCgVlI
cQQ2mRzGlkGU7VUXXxtvyDoc15oRdQpm3JpcDnUzaGFSmPMuGarkoiSzSctQDmp5Z7kUPV7nhkwz
dILDadI1DmoXWr2a25OXyKsSoAsSZ3VwO8aZ/um9IeBLTvlfv8Nk2EzqWev1X832rB1H+7cRDThN
GaeLqTH2JGZlQYWsKbhINx7vNYEKvex5ExroXDYYhHpiHDyj4k2RN3OwMbrHsdVi5MR51kkmwH1N
uCsO5lM/gW2WhPCMqn00GDsdncV7lcm0I+4z2hutk24L64LufXxI6dp8qAgR1UoC6/GPEmyN7HaB
9MpiAVix/txR6ATo05mXUMBvChsEevU4R9TBY2I7W0o/D3Gk8wAwkhl03304zvCtx+qZ6l+HqP9c
CzD6TV3sBgSy8JEZphVjjh4FK1dPCvcWWTiR5dFFt4dXVDXqke/5RDiNS3UDdHLTqxKBbAJMKp7I
yajp13ie0AeOzCV8A+hTo1McTpRLWnr3bPPVWdhC2GQVTYNdbr9mvf0xjeXD9OPHKAFa7cDd20ym
+cV4An16AyxsVYTE1vxl8GOeYWOzxkXXEjL7PbgLMLosTl7sgp+1n7y3BRUPn3Jx83wU8mNzt1Zz
O2LCBCp8TUzgFP0sa4KdXf2yfGjDRkJdQ5Hl5/MQEPbRBqw3H6jcUf7NNPWDBGtUx+Rsuc47u4XP
wUy/UrRkKNcJ99RZGZq5Kk+zIT5tbzL5tLH0LdPEJZ68J5B6nJ9syMoPGulWikC+WZKpJUVXh0nD
60i4UnfS4N+dNRecLvI4w5ABtDoWma6+Wr8Uv0jubkJeBQLEekopn0aWIj3zty3GZ/eVq27YWnOO
ksmozyXmgWOWrrOEmsMttWeLMLMFPkAl79YELIPz6mFi8A5wEaWOPTdXkta9Q1aXqHU8/RO7UvOY
5lpoZJP1Ldnd2013bz3yj71yvlaDAxqcgf44pulhcvp/VfM862B0ERt4RNIujvN3XOqK0sr7xSpt
BcLp3/U+vzWZ+lM2l0khQrwbo84DgYJoqsNeJPo5cvxv2/Y+m7kkU4Gw84j9OqkjzEzxaCgL7373
0ExhV6/KDM8643X+nMQtSmz3oQR6thGdu4Vx8e0iS2MH59CvFK9Ff+mdGMU4wIMuwnesldaTFZlg
o2fuGVK4BLdwKQ4VjbQ7GtGXOceB4hjkklmnMU79jJfgPNvdQ9tz+jcCImbD6mQ/egQtLjW07LIV
v5nOdqazcWMWhMBcJ3buccYIYEDywGYQEapnOncjaws850P3WhX2rau64tSTVXWN2SnQjqfPudkr
crNH7YA0HaJy7nas0uYZ+L40T45VZAHb2mmXpM7qN5n/mqQFnMmE+lcto7hJRJd7k95xq3EvJZTk
5DN6KP7yrwHmMIRxL97oxFWtCLidh1VqA9b2kCbWGf/ALRtowLJa5eEs/swFkS8rp3dxape3M7l5
wwqRQ/vutDX5VbpzsFzbO0JXVbW7cpONHuyNs28m7URgQLXtU/zj2KB4KUuEToORmy2Nb6JcVDhV
pDqVPvFfUfIhcne6Ym4TJcYOms05JL6ydu5ZUt0qmLpbU0SoKfN67/jIYme3szc9jP4RtAAVs3tL
HDwVhuleydsWboJxjpth48VmdXbS8jG26u4yjXn2LJrpT49veKwErJlApRIyTeqCyINyHqSIBiZ2
PmDSO/1I0MLbOBV3w0XkOqXv5oBbNJvCOY+eyDcGJhK5u9IWxt4S6lGLy38+vdiOAd8srHOREpVj
l2ZzKMfuIyfQLmT7ejE1BEPUACIEjwM2r1VPhj70x/ZxSuTy4KrSepCjoe9d3F8kVhyYVrLLmHAb
DZk0VnvHNp3q8YbCGx41NURaRimuIr85x1bx2ov6JZOquDdjFRayG25FaVLDLPGPbdk8Owjw9rPl
w9ymdaWcoA2qcPI+DAbGX2TGSGWMeT8Yk7znGOdNg62SU0SY1WSfXKpEzEGtkwlfxiI7aJlEdFSU
D///0jnyNtEe7d2mX0PStPwSj7oiX8jJzzkH2kBW5sWs/TCOsujT5VlMLffZto34KSq0/mwtsROy
wQX1lB+kKIxHbGD1TVsSfFb09/IRCYX3zoXLrJEksx398wTCdPWXKb8Nycnk2qWFPsVC+2VAp+N2
VcVRJuVdq6v5NAh2zz5hfkqI9DvucKqkw81pcLKrwfzx3QtwwIhr1aiP0adssq+UNCGa2frquGj4
bNs6Z/OEm74SvxXW6F3voKTj/fPueLREZDz+Z95GD94DKtfuRufrK5RbbW06352hQUgs/No9i0En
TXCqTC7jfgkTeHjbtIq+iDstH+Rc3nzNZ7aRVyWLT+ygjW3sPEKxdrFO2KQ/sg5kV5HtqAo4KWGx
4sBLa/LsI7oFFJJTlBtX+PH+xo1Kb2fMwPBUqrsPvlR7HOz7bnL2LvfCT4x5s12KQ+fkNWr2qDtH
MxZ5pMMPrDrUwUpdTHAkXYQZY45tVaItqOMlwgM7dUcEdhx8+OZx9a8LQM9xjwLrhG6UYq9aET1F
E73yqEXOz2K+IPEPOk6Ls+6k/d7sWdoNg2Ty5WkdWF7xTfae/Khsibe9iHTgw8un1Dp3B/45Os0W
hwqP6y6LMoQMayfo62ZgSZTewmBRzoL13fJrEv/y/kTd3RyXfPWzMB/Zg/MWqebcF3DDgw0Zweui
3Zxx0os4Pkjy3o1xsK8Nx/V1HXIFQ1bRDdN074dOmK965UESXv9IXwKFYiGmKNJnP4hN0d23eVPl
QZOhMczscr4Z3BThUHrbbh6dS0NDE0ONqtIBSlaJ3y5uuoPOsvM1ndSvPl+cBcHxIJb+XM8Dbqli
ucTCNg8WJwOUDSjcJXO4eP5FaWyeHdf57YwnMo6qG+/0aViBfUyZswNq/XaX2QIMFg8dR4q4miVR
TV3zwwC92S5dol9qmQb1QKCMO5Vq65LZti8ovbGVkQs5oHBmpVbsSIDMd7a3GoVK/a4noOhTJtoQ
NpK9QCwTN2u0q3qcaj/ZJyPWimVMoltvVDtC+pJ97OKMW9QGiHTQoON+7rv8PhgcIHkDXb9LtAcQ
xfeuj3keHVUeSn35kD2nJSYIqE3ESNh5Gmpkde368uG/XyRnCtM/V9LQIRhr40FekzQmDrOfzjVz
C6PUYXN5OSfVTJ6v6JaXdlI75TO/TW17PhSq+5Lx+JYorXmqGepvU+Pgla1591hEH+Kug4OAgmhh
wftajRCgPJ4WBiN2ezSwPh7ZGvTbom3FSXPJY3SN3j0h+fvxGOMkYyRuLG65RUY926HhrcM6SSx6
nu4QGVZzqEa0J3mimu2YWUAnMm+Pm9HaC8szzkwB2mixn4dWlUR9GPekPkMO7v+wK/LJUvFob+nq
cB2ZuyRbBcx2HMCK+Vs3ROf4zEN1MlBdu7WO/rykhJnhcmyLZQMVwX7SXATzo0NfVztUnYzMStHW
yHSpspxKhVGEGQE12wYgwGuNWi40RoA5TvIYVfE7GLBps8yFGUIkIvyD96yF2ujZqL3iTqgw92QP
qW1v1ZV3bsdEXWoEE4jsUEwix08ObZEHWek3YZqXr17R4fVXLhCxCbdG520L3SCoeEbsIQhAude4
14MFrfnWaNS/wm3yz0lvzrUTctdPl9k8YZ7udgyCZVAkfrqF9+WuTqb4tMjxzRYReopOgTXqcI04
qWtdylkjvk8j+Lez3A/HY0VjNS1VzPpHV7yNELDek6QT57F1VrLT35i4touZdNtFcI9mUKliKUON
vdBxAdugZ4g9nku6ExSGnsIpPNyRpR7lmo6eGtU7ue1xYLbGE1KX107gwLIFwGp9eZUEqwgCvx9y
YKe28Sg7/VFCcol0p9swpcwB5+Q/ZV9QD9sEa9Ru+Yai9dp6uJh0cw4Gkq72rFa3Tj2r0JVZOIH6
wQCjELe25qVaDq1rH2PM86E7AL/xyWvsj8XscrIaTBO6pah3bUV2YeFcYw/GEfz0f2bXH8thvHtR
9Kf3WvLXBnIh0vHT1MhEIo8D990qChAfWWZfJEPxjdkl5Y45vmfhZucWl8Aa2JiPCPbaNcZsuOMI
+eEvDSgPKbpNlMobRjG8ai1Njo727cFWRyOLimnWJa0hwhamRZ1lgbBTA0DntsYlxXgxzsigcXoN
sJT9YiULKWjNtWhWDgJ4MIRUj/EI7GfWddxCKYIPHJfiuAgwM5hySa5QFbGkTCk8IikouPErTnpB
WAnT1zV14lToEM9ZsgadheZn7h9IzYBv06CJn4FjtM5wmbhLIAWpGBxTtJy61LyAHSbJIUq1YODf
ozyy+6AdDPOBmBw9iu92ki7vOtQdd8C3riWVCmr0wc0wEQsPsTpseVL2afESL6VLOJQZfwl5UN2I
y6oVYte7ztuQZvp16vt7zRvHCGja9INgCDdipabeXB79nGgEFmGKHE1IiTYJdvTbVnfVDZPmfMHE
6rs9BVlkbVwmubSepQFx6hfzjXOyG+coZXFzLRYGHT4xb3RjFOjecjNv2O7FJZHTbVjWfWMS22FR
gf+oWt04FUsTb+zOnvY9W9dtV2GI4FpxbgIFEfgc0l6mtP+VO44LOvDWTx5bR1VBKaZh77dEgq4w
yxFpGMGIACdGifJu7NFGVYqJMcetwUIQdVLboo+b52GCKYcsw1WNII6N+YULG/tQAxzb4u8mabpf
sn3SCiKD9bLcTRmeTd9AAIVHa2yaEQehv6WRLV+sSftqCgsIP7VI5qf+pTPG5HHdRYklq5/WOA2N
FM+5ifxbqbEujpUnnyaI8HA5/QPc37s+56yDkFCPWUlqfK+zQVBs+5JxSsOEp3UCbMXyQY9u/kC0
Kaj17tDmzh+c1cRT6vxMTaGIpR1WmwfTPYWhzegx+xuttspuWiLVllggCkLSOinHvxsqIhYnbfon
12IzFTvAfuPGOGse5sRlwP7Ttbn3Ijs06+ggM38HNJpKrXEfskm8MoZQm7aHRgjX/JRaHeYgvf5O
o1q/OBVq+7IqpiAvIi2QSy0Pa6iqnt+79l6opX6eouo7Skykqf232X3GQz5CYsSNZDghvY39WOKJ
1Ya4OXo6pi1zQEezgE8Z6mo5Mfh8pY8sT3mE9yvVaebrj7QU9Vdb0EbK+s1RqfFCgf9nqiSou8o+
C0XbxAwTBBQk2ENlRcx4+rbhoce+lDGMcDwFA7/DQaF1GK+tFZiV59yYY3devO6kukK8Fc3IYtEe
h3td6P+EG3Gp68bn0jasb6cYM2Bjh05hmjvNNrM9sXQYTo0a4IU9M3c3ZHFs09tik7M44WNJE5yn
nfOmw5o124he2QMqVlrv9YgxYSpAHRiQTZhh6LuYK5j26mL40WE00QMkcRzAiqYs5nqh0yZkV5Fl
h+chZX60upFfhWAcUJaLFhDcymBBbmGUXmXZcgtrq61Hg4cCEWxTZS9mWd2s1jCOTetw7kn74CUA
KNQ82mF/XrphJpXPhBjYeDfBeZYzp5rb/s/Su2E7s5ZAj5JvjKj+sKAEbqod2pAjWTvzBvXcFyZP
fRMbeCmL5MOfdA4wDaaWo5NSXyHNyhtTXkbaZ30sAmmgi2tTZIweOSMD+D+mQUw/+viidR7mZyut
Qt14WYTNXVR/ewXnlwHPgrLXmY9zIe4JWuagbhwRWtQSDBo2C/rXh9ppb64+41cUKNJnuz+VvbSp
UWLMae78XFaUFqReh3ZK/TXzAJ/mnCa9iRV2mVRhGs0Yeno5dAqqBhqQHLIKlPHU8hEOmEyeU9Xc
58xWkOe3TctCOUGMrlufWcW57zTxzVvKYYcHncWPOSFzGxFbZvO/IbdIbrf5nbndeLDT5Oq5T0aR
+xCi1MYr8f9Ui7AexwT8fQOHosEpnwgBZVy2iDeJVmfgXZ+VVhk7XTCInaS9TaXPbHBho7J4stql
hc1kihXzqVIrVLaCnDFDpzg2SZVxx4kHrdL+0QT2Id6mmSMHtcckPKYsgrBuI6dEZFVA/GdMoyxs
7CtNNFCco6NWLkgub87NT9P2X3pXzccqIW8hVzUoFQtCKSuHvVG/NORFbvH445Dr0yF0cF1vOiyS
e/RCv6L3MITQkYihbx/8OPrnridVQmN5dqryeXANYPE9ULd8aMXr0HtRoOMZ2tAzYrzs++mS1g2L
lQheDdFGXO5+/IzJfNmaEnNyXWOScCl8ApPY5wOeA3LlSAQIrBklIq2JyUZpzIKxJIO4mqK9EET+
TS0S8hZcyzayWvdk1ssXB3R1kT1fPCcDAZzSCZUz3bYXLWeYMVFYV8TI9sNksHiGEcDog+DxkfGl
mdfdY56gnWhUXB5mFoL3qRHaPdLXsAgLcQq6G7IhlRFaSOPOBJqkZMOzTIsnkiJ8QlaQgW6cxvMI
tiFewAB8Gzecf8VlSGLYBwYmeMP1P1NDMIkm8gZjJtrLwjlGBTV4FQ0fegNn2ZoZxjLaxmHAFnux
nSyMhAPsd3pPJmBVgtZtozfeC3GtEJvVsWanYpvVY9/cMoXMj2ilp2JGKiMjCula/9CN8d4y3niw
fYYaPSiVDbk1l2xqv70KLA5V5EzcAQ8yVZBIQqeBagAodgTvsHa5Pi9YJgAXfL/ddrH95jdwGay2
2S0ajYmt+IIbGokC82u2+DryReizUTfscNUciy4Oirk9mKZ+bvT0L9iC7CSNXzohMidzPkpGa4bS
IqPNSJmhjhlFDBCRbZSZN9/90En5JO0TuYmDlaBIkn+mk/4TLfl1ANqQl2nOQz4gLYeTex+dz7mV
Z2wFYY4oKKva5Bi1BjzUdpO7xSWHpIEHLjrpaXErAfewKRsoDUn9TObVQe3w/nW5v2OEjvuPPik1
79kRw/qvWCaM3K3/IhebHZHqqLyA1PXpP0NTH6uZEqyPyT7HvovqGckVk6O2/yhV8Y0P7Vuvqh+S
Dp6HxPkeE+MRVTcUOM4vyhIlJy/QJu2XgJ9u82AZRYcg8zQodSN8HTc936sYWH6Y5MDMggrJ7OQ/
zaSpYHuxlpRASeRzBQyx9tWLDm6Q6fkRSfVVLCtVg++a+vQh5kgzTeVI8hSSQK3z8SPLZ7sTV8K0
511PrR8AaLhby3Op+/s0McWG0Tsf2Ixoa+rA/35EfX0pMuvCfKYqn/gozdFLQltC0seHvrBAjGkv
oHG+UDhjQJPmvakmqrOo/HXSt4WN7Eavctao1ksKry0n1ay2+M0PJsrDqPvAmfyw/t8fnlyX498S
Z2rk6FANmPXyFVdpSPubO7P3+hFpCQGhlewsjnrjQW/i6egtqNI5s8KWZveA3R7h66L/bboZs8/M
u1frx8Ez1u1UtBsnNl8degZl/c2W/vaf4cC9aYnzMTU5auvxC9/ZlSSeaTsb6XNnem8A/x4WLISC
3XTvV495PX7W83zNEkTG+v/YO5PdyrnszL6KkXMmeNhz4Mnte131ipgQUkSIfd/z6b122HBTKBRQ
c08S/m1nZsTVFXnO3utbn2Ud/BKCxjaMCyXWSCOyT+zzrzOgt710f8pkPDt27iLnMoO1TnvWv+vs
/7eE4WWu/vzrPz5/53GxiTG6xL+6/16loHwOIP/4f5QwXD9/R/Pnv/xfWhj+49/6Hy0Mxj891sSO
i2ZPt3UaAf6zhcH6J78f3DQtTzoYDJpmirLpon/9h+H8kzea6/usSHyllEnBQEsoUv5P6p+66xi+
7wBl2J7pe/8/JQxMn//PuhhHIeNQjmHYbNB1dl//s6sgVrS8LekCuDxl9WkOmpDmpAklW+lET2y3
H0p/s6QpLbZ2dVeWPT7CDYSMz+GTMfaYAe5zFtx7lwJfDtzVttWorIJN22fIudjOTdam612o8rmo
LiDgFU1VLpzh3OuMUTId6Vtk7poBnUhmcXu0Ibg2RdcmexVpDPsXmhNkp+OQSLyPKXhgX/Zfvueg
ZpHYZfyWZR/LNJdPqdgCJxSr9AcU5bYNchKAY8+OgbamtTFnL70/HYOgYDs7MVBaJp8aqJqSp4Us
5ooJS8BCBLs4PjRsGxW32JjCz+cupVTJU80u0rz0p/1L9zFEeFGfvF+5vyFn0vJzbSXONcYPebBU
hn4DGi06tO1Eh7vt/jKWz1Szpp3p+ESb00MbiNeYHpeVOoYObzMGn59FYOirOUi/4RpTUiMbqycF
OBbzG2vLK6Hvjgd7LUtLda80XLGxuQln401LgnXWTAcdt/0cFgazLDO8lx10COPMtKQNzAevaEL+
FktwClt73tdFcgm58q+hVoY1aHKxxkmyL+qr3TKN4uqZr+iwAEy26WzEjvfW1izFLN8Dpop4B6o+
3FhTlB5zvqibnlf4qSH0RHI3wKbGBrcJASHmuL/DqMOaR+HdaSjPobvre5ro+kOQPq/Dggj6AmqQ
mDRt88T7MPPqI/QIvLhoMNryqwiLH9FYhTh06SHmoUujhXRBuaBrvEKZ0DnAIIitv/hYHjzcZK+q
C397M9VjMWxlZyIdQpDS7zKkUizlrfiWg2KsYpARsih8CQ13eS90XdFxWRFid4qrm5EmLzr33VSo
N506eMTS++iSpTkjcVBH5FoxUdWgeBiymErmhN4Htwg3CLu4T0B/AUA/j8ZiYmXDH0tkZ8Nbkrk0
n98trMk9M4U5UcyuzrPRnyqH037k16CBLCq23DLmGwbP57Jo1W401Y/a8qJ7yOC1CQz/EjkOEUSf
V/dIl8SN/o93fePjljnNDqYOpbu8H029FQswx7poeUVMzXJuSDd221Y3b3GfQjM2Lxw0QjLBTGwR
GbHiyTH1pylGR6MImofKHu4JDMfSTrL1IRBiN6dG14xTgiQJPBlMmFDQtSuUe0xG+xpARz8zEsQ5
b6t97Zr6zkwXdaUNc+3FqSJL1cGXTJ906AXIYwYWjiW91xYfKS86zOSkmY/KrPbKoP20WbQRa53G
TCPkj1gUzsFUBbyzMZvb0aLebkSmztCHIaA/hP7ZKzOy7nE1bsgTTDczvjSZPWCUV8XOjuLgxm75
pPtVvYuradzzKE6JN6ZEy3V9QKNh66fRLc8UWcWHhPsHrSl9fGIquOUjbo9Dl/cHLR92sZrUHR9+
s9YLU9t0GU0G0InpbTYVXXgK1Qok5ypTxZUzwC+Y3vAYBRg/cCm9o81fme74wJcBK/tFz+oD3UvG
Ka2/MqNIdlVySTDebNw4MA59s/R0CuA7clQ476204v5anbJj4xQMckK6jsnO36kMJBXR2JRnFHR1
OKFsQdUFi0VDMyquvJJZckxyYTMzCS49eez0ziHy2E6gZ+NYlQ4XrZweA7rYSouhnJc521IZjwNv
A7Pjk0BUz4iJTZAbXZVL/Nnj7Kmi8IjGjXbxGIAZLeG49lOepskYG08lfjA2JMYFHzwWmtF1ybIk
+GVJyhKu/En3snUfXdO8R5n5rMw+PlJniJjWHJ+8bmQqifyV/EI+YzqZ2UoiWAMetB+ahlLUBJA9
tdRZ12vj/Pd/+vsvbfVXDOm133OYGwcmotR/NMkDquBVyNLm2jgY0tjKj29B/USXqr/HelZyaeus
g4vq3wgj/9mtzbVP8wqNkO91SMVBV7DriCzGz3FEwKmXt5ZaxpmqYe5UkzeGFxJpcFEM8oBou1tp
PAKBxsckjvQdK4eR53o47nIz6Gj38919VswXFTvLCp8+ICJftPVk0uRi9jP3M3oMmvJPvLRiBOOC
GsTG2kpYmFu1vmaI3eFfrHnjZvV5TgvI1Cbk4cmz2SqLU8lxhPeAh8eMpphJQU3Qq/jM/vSiQowl
lGG4hXXuZgYyGrn3gTO589TiVlyGF36FsCyQ+N50PkbUqkRDQPBso/sZoSND2+BwYToVuzxFwjdu
L3ts89GmVfO4i2bjEobth1YSCfZrE1Gh/U6G8pKqEoLACUmLdA9lw1bXQCFU2+mX5bTlOklABIP5
F7Iqi4UJLM743qXpqx5+toTrlHVdivmhiaaYO6669Znzy1w4GjfEOXBg3WefooFBYMOy1XaAt98D
7lmHPR477urDxq+5KdlBAENAwHSVVYk/Awot4rrqEC4c+p8p3z3wSKvi8FOtfI5yqxQ76Wq26w9S
KgTyeckVJJCSdLlUTXoNNRDTSD8Po/tpUOi+KmLWli1XnZ1R2SceevB2HXHJgIW7CFK/ym5GkpGa
6GVIhq8Kz23wI9tvEwGheQZCg9Dc8USvsVFBu/mQK5pNe0mZMtrjVU7I22XdqsPNbFuJjlgA3wQO
KWqqwr07E8npUgLfrNRfYsxua5/EN2Fw+8ulgn6HG/OsNeo1HKz9lBL0mCK92+r578kKXljFz2tm
Z6SXYxsqrLyZTIVJttkFYWmulkVnUp0SEtKI42hfhhlAI96olVdSXGMjvmLhGZerUP/RaS6y2WQ3
L5ZOwSRMUYWBe07xHvhPgx7RsOm/EHv8GY9orXJDnv3Bs2UwLaP1c9l5vf/IuOPZQvJsc04M2uwt
MitSu6q/0xl0pELQXbf5svatmeWdVVkrfTCJoGbte5TFp3SEKTLRKs618RTA/mzNaHrX/bHaudTz
FD7eNicexgPp255oDGXrDXQuG10e1NiPjVdjmclpm8y+kHtMFJvq9GAZNOm4xB/zcQJOcdZp5x5A
MTWxVlTkT1zKIrIR+G9KSKLZ3UUDpR7YPIg8CTIoAPoq1LnSiFo5ABKLjk9z4ReWyuoaA09A23P1
w54Mohk5AwGSmc2We+DWyInUO/EGYK7decXb+OVCnjEwaKOtstNznS1fJus2LyesRJ5dV8Zvvwzk
D8n8NaHyUT4QBIwTmrVP5gakKDlfoutlTYe0zbSCcE8e/dmOut+eoqoqzFkldtaLPt758//OkdFn
NXNTIpDOTgPNUOyvmKnAKYXz90xIeV3pHs3d+N9WldhRgz49Db4zrR0lqKFFIUCIPIEwihbpxyjr
3u10SvbLlDyFKHTRP22LaWypOqTdlPXXPW9ylmYzxRQjumwNuyAndlRovWm+JXb2YHmduUoa0IKU
y7FuYYEqRitaadHBoW+HExJqZn7WFa4+79xPC0BqSZGWP3B+Yj7Lj8zm8MYlIcYAUCwfLtFh9q3O
Y9MEP9xGSpFch4OcKm7IWqBPIqL4em7vyUN7tuuuEmDhJmqBKirjJxUkR1tHSZtm+XmiDGSnKOgE
hCVV1tI92USNf9EGysANMTTWaBj2uv8Rs4S+muN0gKdxjnMLWozkhP5emyNM7m7TIv0ztezqsvIj
GgLvmk3jWZi3bZcnCBmZzkD5gn44vGT5pZvfZ5NPamY0s8p7en2U/Z3qZrOxDB0jSoD1JR+SLTk+
fRPF9XmwhmZDVVpXLZz/PRZ2/kflM+IKae859pQcHbzIs65Fau69bEp24wJI3+n2zAfZHVEZcITL
eSBkGluFhF0L50TVY4F3S4J8UYKWtGVXbHThu9hJUMIn23opf7UcnPZlzRkOd8Ojiujltgy6ngOJ
cOjml5Ppz5Qx8EgoVLOB/hzJ0dsa/S6bpCj4W2Sv/sjQo1X+h1K8+JzZttaa1j2nw0A7JYrjUwOC
s+gc47zaIzUfDJuZWkwmROg/wTCxeNZfqLk2ZTYO14hS77VV5Lxi3UKW+c2m2pmZ+9lFFDO3cqsa
W2+nZeZda/UMNip7Vezzzr4pUCL8FKZJTmu70JGicT8A/+TJtHXN5q018p/Fol+x/4yrIHwx8RTt
Io9JmOdi3zHdV0KYzT7BP7muCTVEbj6tyXP5p5YY0PPV1qdr4nbjqzXxzgmZO4/jNDF/bN9tp7RP
mVjTQjQZrkVKPM3td8D2duy0rdQ6rHriHKvC5YdCr7dBOTrvxkB9R0uv7zUey/rMrbnq8AiaM2Ts
3FIzMdnu3ghmf+e34a9qSWiQGuxgY3f2sCnZcD31FBbFFX/9hTHiUqbtiXkgBVG83fqW0TtpGn5Z
I4CNOKPjZ47LmmQNsTBG5quEX+qNX0f5brE5aGJwnTcTDOVcDozYhwkPCxaMOiFpVjX2oa/htviN
LvYVn0lneWw+iFIbSf9cqD8xqh3dXM4aKZt9C8D4ZGg5m1fzQS3tYQaXZOhHB3HgXnlle8ch1I6R
EyVbXjZbwyG/UCXaQfn8bMySgmzP47U0mhEelKyPdxNsxaYqDIReqQ1uMSSXnMhAgBqlZU9yWJic
IMMhzFD2Yqce+wv74n1ekJOgyQ6KohnRHznc1V300Cr5SpyBpVvT/7HwI2wWFKh1x3awQYy70aDf
owWjLQj1uK9l5DlsupFHyd9fM/nuD1G7mdhE04E31Tsnb1GVO+7aULa98aRcPJyQ0ITT+N305cgM
ZVhlS2/u/Lj8xrBNUS7mNQ4EECmThAezsDh4Kd1vJfSbT/ivfuUrgOQ1crX9crHcfrlPJXFuj/xU
0C3PCW5aFkj6nybpvh0b8a3me962TuphS0UtZp8w8PEnufS1aRGCxDq1Tn2Z3dqqsu5Fd5oSN7tT
Z16elOt8pX55xiVTUuCZ771pUrtWua/4CJZr049PllPnB41Ibcjub6gudsii38vqi8LF72muhYFo
7k8dAb6VbhjVMYsXZztU9tvs8psQ+cOWu+1rX5rZD5j+wMgvc+oimx69fTsn/DszY6sP1XxeEuu7
wKq3mltLXQYrexu8Jr0HWfzglu3AMaAst73LZtjDZUDFV7I1h9Gjvz59dDJU0zWiBg/gAiU7WfE8
3uo0VqyWSzZ44ammh+JhXE6ObsKUjENwr+f6WU/N3ZyEzSHAOL4qFm4HTZ9tNXNQ24mW0E1lce6z
6hmvbqFle/oZ0k3b8VtruOX8OjU0O7Cf6oZg+Z334T0IXO3BDbxvXYdyKaXCKYm9YF+HKaF4NdI5
6GbVmrNfGr0lev+GqbNa5+bgb4LS/A3HmTwvlX5Vnfxl+snYtwwhTlPbv9aZUd5c/ICrWPefqiTh
Lt+N6mM2qwMThR11aGqvAEhIMEY2bXMNZk+dPERs/SpH2qcird6HTo+fzOLGETvMHuJy7jc0SgXr
FuUXonWgEy1BDrjMPKhbQjSOpq+wv3UH6WM6F1p986kDJ41Qp4/FYGNDQIxeGb6955O69VM+PfYq
p187cS8THVpnxpi70AyMvdaW/PmWaovxL7nGMI4u652ryszH2dRusEK0naMyoM1pm5lvsEXemVuW
v3KGiasDLecsZWkkM0E+2nETWiaNHTMtNGbJVwpu0lxofbEs+KPF0Fze8bl11n1gT1L+l2JJDi2p
HLqENOhurgF86iWHRoyEoVGT6UZ78ZCi7o57u765qic027TmQXU5p38vqwiPo1ByAoRQ4JTYEA1d
pFd/8omOSyQveF9U8nPUmnfOSK+eEaNzZowFJ807Tld1siXw1Gz//ocGffU7HCt7i+9+pq1cL06e
HUfYufBkp0Qr97nPoc/o8cbbfcEbiyFFWh3Lzv7kwLs2R/JDA7lvsJ7CXHPiKHGatS6nLT3/LCeO
/6k3/x7nzuLg1/5ybeJ/na8Z7yMjPspAtFtrVtrKrF6478wvc95d3ACjA9eslina4tNmRGeBLsbA
vqrZN1adWqUmJxQkqc1ZmfmTP7c/zeoEXoxQtrf387j87hO1I0d8DPt5Ay/+knbjR1j9SRaywpwC
bKO8lNh787L4YebWjRUcRrEBspMLreNqLwYGvLSI4ULKTSzVl/TX5IjqSvLCS2A+LkQmV1lCTc8v
w/2hlbCZrAwnVqA6dTjToAErx4StNeSrVWZvqL45j7WF7ZSguyyRYuIkOFjZgkKfyav3O/Onc6Pl
vwrOd/jQrceQpl1GNvUHUrwvLlyeV3KpEOSom1gwmhaBBMJ0zJdpxou/sdguLv2oqrJueSgNINFH
zr6WZ5H34k/xZ3+bPa5kLh8RseJH4jCwQTYZcyV/DhfXAVMwkbu16XcxsdljgrGueWnJQnlU6TeP
c+yspv3otc6RPqRk7S0J0r1q4DR7xhP7NVPrFjEc55Hh/65tWsST+E9LvidA68JtmplXPsZfOVvT
NqCadEk3mknJZRj1fEEDABm7d5C3QasnaX1FN6656jbkcU6U03rQewqdbal2biouLU3E9l8RGnEs
feCgFH5bpNVkHrtBkMJfiS8RK+cWeRG/NUH+6evMuEY+WoutIOXPXOtD/0QI5e6F/L+CkXtEsygU
4mB2G/B30MxSXPsyOHQNH4xPvK73MxlZsq4fMQ0S39bV1mPEyRAhYV+Oe5Z2pPCJK6f2OIdVceBU
LGp4WAAkeD5hc/iAgq/yKkgrMByhB2zhCGCQl3PJQ1gJYwCwZG4i4Q40IRAsUAS+7pDQQifMwin0
fHj8unN6tsz4FA8qxVliEdxUPhydkeGGwsIqqYng4AkJgV6k4OQHHWEIJ2ELMTEKO5FHKT0rY3l1
nHSiORa1tRLWYhTqAr+t8BeQGKMwGdA/z3UzZWetIwaLe/Y74MhwC0A5zL9MB3BHJ5SHK7yHL+RH
1sKANEKDVP5zEpXLPmlwpQ8oP6wBSWQ/ZzOCAffFK0wuUHBzIDCMt2rXYdCnD/qV/66a0StEiiZs
Si2Uygyu0gi30gnBMgvLElbaN2/+G/MHKBfhXSohXyphYGqhYWLhYmYhZNAizCw7FvfsZ9aaN5S5
j8pYkanMyceNYr6Mqnsi3E3DSH4QEmcCyamEzfGF0lEoECrIz5tXPPNRXKdFHw8NYA+q9WWXzd+9
ED9127PLHcMeKxvKLqfVHjIhhJT1syHNu0YgujMHfsmS/uaMVv3oARdRzY2yW3gjBXhk1igxmyBC
dS9UEk2D3OGFVKq5htRIxE5ZxkKA8wwNoQQWcwAnQ0inpnQsmiWpjOrBoDzhoWrAKF0IKQRSthBT
tbBTSQdFtYBT1cJVGUJY+cJacSL40oGv0urF9nkZNiQYeJdq5yianMcRYAvRCsJcEK6wbc0VTYib
ib9ULpQX2yZ4LyG/wgQGLAAG84HCGJmfsdAQwgEXI9Q7Q5qqY8UDmfOEwZDOE76sGHiE6CBnwA4/
8phBOSiaBZKWCZumC6U2nHth1nyh12Lh2BqANlvINgvErUpfIiHewhT2TQeCi4SGg+27FsLHzTbZ
FHg5U8g5UjyvqbB0DIAPhtB1YHb4MskCCneXAOCNlerXE1v/JcJUBaLnCKtnt9EN9zRUpnB8pfWu
C9dnCeHX5tmnXrynQv55wgDqwIBtcteFDQxUT3eQnlJkVqdQVvaY7l2hCUFP7O2oYu6benSdMuun
4WMzqoEQa6ERc2PpWO8vxpvZ9acm7c8FSMghEYox7JprJFyjK4RjBurIRBr1kdCPlXCQWH7tA/EL
Wj+EktRjzTr7DL14vPyYPUN/yc38zYQ3pl2m+uyrj0iYyxT4shEKc5oq8ifafGJzeVzMhsrv3mbO
x6DpWIJx5sJzBgx3txbyECE9rfZn5n/1jVvC1LCVG7Xq2TOQxj6OYKKR8KK5kKOlMKSu0KRofAic
AJjyPqoJd1ECIOwpRScd/e36q4WE3f/LpwKqtgCr9Pt5vAZfdCFZQ5axF7Le51goV094VwYx3ZMt
Tyqcpv5jmXLHajOKaA1hZXWhZnXhZzmk7xchav2CGc1cNPdu5oPPaltn1WT+aEu7Odhe4QORVcG9
s+plHQHsgpAnW18Y3kZo3kG43lgFe1333UM7BneDk+xhBgKOhQbGUoLliUPNfaF8wi7GG+6V8onr
36oTmjgTrpiG5n0jpDGSwE9T2GPR2sMDjkcMJzunbLKHDPlkl0XFLhF2OROK2RCeuRaymV4KiHCC
nKvCzgyqt1Oi8ejVVgX5kvWw4HWj/4LDsjDTk9DTk3DUkRDVk7DVjVDWAbg1qa1h3wqB7QiLzSfO
X3uXCKPtAGubQm3jC3LunZDcgzDdjtDdhXDeIG3qFOQe2mhPHkQGJ+g4GthRQYhb91R4cV/I8U4Q
cmHJI6ByB7jcE8o8bL/jpOfdKvw5YRkLPpyz4WJrnMuomPHHvr12JsKkyhxg2Lu6OwbCtRdCuLNl
wso+QL1P4O/1Xw6+7x97IeM713ljNI6OVKh51NiVUPSh8PRx/lILX987BYtVk167Gvg+TPit8ITH
V4zTHCH0Faj+WF5aIfdzZqAbApUGQ1S4fkcI/wbUvxHmfxD6f5YcQMtjfyEYwC24/eCs6q+W/tZJ
dsCX6mBJE/SSK6j7jiIoOOSjzStaZs57XlbDp0EgIWcHiXnU94+U5BrHWHILC1zJAwj5si4k1RAQ
bwic6mTpOLesbNt77otlo1KhPv2F4pqbIre36fFtcnlmNUSTN9vk6AmC7zdOm3ideq5Ugf7SwjY+
VrnqtkvLQHlyQ5NYeS0i4uQ3oYJHebygqxy5FvG/ozzMAx5Zmz2n0LLYhR7j+NR1LkFmf+QGKSlE
RUsGhovA5qcLuGTQbg0bGv0sGQxahEk4LHzHHukSelhaSZt0kjupJYFi6AGvOF6nwGmSUIklq9JC
h40N9iys80g7NrOkWuin3LoV202NwAsaTTpDJQOD6XuHtfBaE44xJCWDHjlZR0b8m1tgtv97XIw4
8paV8aDCu234uE6r5UYohhv+8kqJ1g9PYpbeol4BqJ9I3xDzJbgTIm1ccTs99jWd4NgfCMqS8nlR
kvjRif6EigxQTBhollSQFmJkrOEmRrxmWvnL6gx+L5yYJNGi+nezeivm2v0IfRQ/lG7o0Kb8Y4fL
pJRMkivppEFySqVZAOhoDhsvo3sLkiY61VPlYhgk4dRI1snzMmCe/hTBaV4ynfpVMmIKcCWa6u8i
G0nMQywQvbfGxxZ76zlAbsz4yWXyRC9OJ5EryV4VPiu42uT0RZXgaHIrQs+JT5MjyoEjZ3sptcCl
y2Ef+UbHxICDC6nCECguo6jP0O4aMTCsReY2kWSYRkTMjR+41tHHKtkxyxhfHY4wdLBSM0y8bHAC
GjnipDppIokjgTZJFo2vFESx5NNY+vCZkVgjm04Fa5dYR7x/BMXJtdUE3GKump4k3pzK+h4TYxf6
dXAAhsdCxbOZt3zU/4jDc10tUItx8cB0334GCjD55T2jIyW+K3m7ieBdLgm8SrJ42t9UHvG8WnJ6
2syO0Ir7dBeHPm2DHA3v6YwCeUx+Y251T6Fs1TH4GCenJwdYIfs4Vipqj2nOU2vMRexdKPM1KMDq
6eS5QoziqXIM81HzDqpnlRYTHnwqm/mt1/rPAYDjwPUj37XEFE3iirXkFkdJMNrzYKwz9tfakk3n
hJhjK3lHfKokHzU93BXYylI3dy65fw3xFO1GyUsGNNBtFv8lkiRlSaTSDOvi0Kb8zOxYPdLpdItY
P5wa9mCrvE0eK8lmFoQ0Kb7ixoQRA+ftviPGOUueM5Jk5ygZz46wZyipT0pXwYfiPT+FYaUIhlJp
qEOOeYD5LDE5Yue7uiMYPEuiFOEqzx4ypg6jnjV1ayYQZrKZJYnaSCY1dX/xtwjXdsoEuy9Smvam
ZpPTD8E+ikzrKOlWHCenUvKuHXE64q+j5GCjavhjU5CS62O/MYnKhpKZ1bLlUkqK1p3q/lz3E3qT
GYy5+6MkcRsTvdUkg1tOaXBLW6y087T7+0E2mCQMSe5iSp/vjaR5iZdlmx18a/toRAR4It/vDk7a
Ef1c9GLv9eJTGSvz9e8/NmXKWm7y8BtLjtgYSRSjeFiHjJwPC3MhR1LHSZTtia8fc7N2H7OWH+lY
7XVJKpsMpY6NpJdtYsxeH78Hi8BrrjeeB8k6z5J69vz4caQ0fVdzNKjRBJ1I4rm7lLA0bg8duEci
qJBS7JWWL7+y2x3FiQyUFp7ooC2kneirIVnTbIr0Nex797cRig2mibUnRNXGvudaWdSJdyRmNe7z
FGFZWBIMHj2bkbSkvyvJgTMYpVlGsuG2pMRZZnYHw9euQUoPY9Ko9tzWSH6GMuO7rw5Fwn+TXth7
L9B2AUH0XhLpuPrUCqWhR14EQlAx1L8qZXEn8Pmq6RV2Ysm394lGHrDo0l1EsQE+C4McvCTiuaDB
R5CRB68utlMVE64dq7vb+8WNNPlXnOTcC1t94fXRm9tes8Z1X3BNjMZhIoug4DAQxK+57aEp8jhS
VpLelxL2WRL97qozGu9xkKR/JZn/jvB/JhYABx2AK16AQQwBKaqA0oo++49e76pjLiaBwL30iAXi
oO93lHFyOKp3dpelX6j9HkcDG0HIUuhEnfyjNyr6vv1I4hEMfnTHPuXiM/DEbFDYOA4CsR34f70H
/CLwvk+994Rpm9q6okkA3q5gblz9oQ7gnwivl51LVC82eiBiHAup5T7LyyEW+4KFhmEUH0OOmKEe
uf3H4mpoxdpg4srdoyqd9qxK77FYHv7rX6g5/mqwyB8y6Vdg9DHz64wfwhVThCXOiBx5xCgWiVp8
EhbRJ/4xfLHqaLxNIBJrbvcGU8WEI3SrtXtH7BSUkfwuxFdRhO1wlzZDb4nyx3wsXrIxfa1j0r+m
OyePtEZtF/YGBE+D4V5V7Ep8A9jUYMXhRSoiEG4eUHSdMarp+yLwzJuvq/lWPwCC9UfC1U+F+Ddm
MXEY4uSwkHOkYunIGSvRYFVT74rBY0Ll4Ucn79/NHsW3aXQPOXTRXiH/sJfc2U3oQDidGmIHKVhx
Meb4iXDwcUYfovGNO442A/6Y63MnjpFebCOteEfyzQggtzPS/lmhJRnFTxKKqWQusgdP41ToYY4i
BoLPpNY3OnqTSDwnEdjIIOYTdkpUe8LN2mJFYYBM2AVPikWH1zphw+5VziNiOfGpKDGrUMCoxLRS
olzJmUAiQSGmKTYWK1RfmfhZ+KUG3WIQkYcodzzUxGtctqe+s7mH8HiNIoNnrPVogjUfCxQwxHKH
LffInlwrehg0MbODL2ZMlOL+3R3n8kc7cuYG2eA+M3p3WLPzZHLSCGKieGhoUmoY11VLB0gyGzlt
2fHnINaaCH1NEpBSdLyC/jN8A6Hjoneq6m8X0vbMheZXbSfWJU9NjDh2k27qsjJPjfhyQjHnBOLQ
mcSmk4pXh1Ry8oziAdsgzp2mxL5j5ea9G+P2dQpYm/EtcR5DZD3JX21PiMBnROSTidGnEbdPIpaf
HN2P6aEcDnsE3o6N4yrGgbUZAFEQl9U3Ir3nxSiecQWZ6GRSmoDo5NOQqHyWBjeuVqO8uaWfdbLY
oIbaTMY9NZ7alkPd7KHkE2ORtJyY6avPaZTl23DAy/4pSNUClMbMpXdvHVE4o/nJ8v7ciBWpmrbc
sRWbQd9Esad4YdtRH4AbrhuxKnWl85NX/lc/0NacYIcJ62lvgPE+YV1H6VFfEJryw0ruQd++N8qy
NpNr/4HfBp5LCTv05amjmW1C91RhfUL+NIkFipvsqhrwQhViiGpRRUXijKJozS5i62uIgm2YYpXK
m/knzK61DhssvsopmWrEzGnFRuWjpbLFT+WKqcpHWZWKu2qpQEuyBJ9V2WG2gkHE4Y/sCu8k0Cf5
oddBTFidOLFqsWMFfz1ZYszq/8qzKAXggwns5MQxL8T22O0nDp2ajnUrsvFvOSZbmNHJ0bRmvc9y
1yjXsHdYT5Ob041P2lRg2S0DZ5XR9bfqYr5gC8IvS8xfmTjAQg+sS6xgI3qwGE2Y57zXEdawMTSH
ozFjEtPFKUY11K1exDImvjG+UkIv3UKtbNA5/9FkXkoH6p+CQymbA1aL4Ay8GAwkSIg+Lc+6D2mg
4VH13vgmeesM+ZknFjQkzYdavGiNGNIMcaXFSNMGTh6dWNRc8anNiNVcMaxp4lqjTPzBQr5WN/1v
Srb5Ca5ZPDA8C7K1b5uvJc42n+81LCJ3b14NlmjdtF7S+5qGygflG449Zg6igUvwwWlorjxw+yii
78jsHtJ4fp007aLB1BhpMqztKrb2pkjmYmJPjRuzi7eGfJeZ4GfLc2lU+kFhqGM0/KUw1iWirnPY
QVkiswOohCbM2DTky0OghxvHRHLrWSjwOpHhQf3pz+i3YF1lki/KvETkeXh6sX+CcI3RDpn7SEfv
1WjQ7aUi3osw8LmY+AxR8k0d4oBFHYcJWd+ItW+o0PdB9/BqEKUfS71mPRJKXsNP804X9R/lluwv
RQcY15c8VMk+wyJq1d34+GERFdzQb5BuendCEWXaO5uD3Zoj+q8F3GK3FOaf2BieKzoi4bHKX5wn
N3POTXFOoC4Slj9V0Zxah2hy7DaYbOpvQM3uoIp2ONHkDIeOA7EUGaKt0CL2IkhMRJWYiDSRYLNG
iRQOCLuw8fGrZHkoUIVo8z2t8uoSNva9FA2jJUJGDzNjKorGVmSNZuSnW2rgpt0iKsdJbAkid8yx
PNaiezSExTREARnjgoxFCkmX3cOkd/pj/5al8x8WrRP/EWgkWzgJxu/lvhbFZPtXNsmR16QnmF69
7slSVYd3YDbP/B4n2z6eY5LJDm80XpdUH5FWm5R5aLnKr3ST5vhYFofG7FxHPLEbQ8Z7SLdi0WNa
Ispk21M9MAG9LDg0tZozFPOiS5CjnEhDjoF8M1BvgoHPGu+HIdnlRa04DSZHwPpnRjLBIe14HvaM
a6qSxW0EfmCxlmL5hvBcdJ+diD/7DgUoGVOG0cN7vUT0f4gmdMQXai+IQ0sMokFeoxIlC7LRWzBf
LKNI3Zdtgnc0FgEpL5+e6zW/WY7p/oiZmuyGISoAGjcDa0BE5fq4aWSbjtsU0tbYVbnxzonpaUnZ
evHaNEVmYqFFrQbeKZUYMUWZmoAZzThUS1yq+RLYq5wSOgaCQbitvS7baWfysNU+z3pSdWRDIpsr
RsnZMaWA+Oei7I3qitcFj+u/UXYmy3UrWZb9lbIcF8LQN2YZNbh9S17yshE1gVGkhNYBhzv6r68F
RVpV5SgrJzK9eCE9kheNn332XruSrFRYxe4LuAUrZ4G9Ql0d1wb8VwMOrLEAYQ032k8ANcykffIg
xjL5rRUE2emnveBkhWMM5LnTc5vLcpcSAYGqCMKFJkUGRyhrh7qT9arxPACZXXASefAzh1/bLSDb
aQxPyqWUMPMd0LgL7tZbwLfWgsCdFhhuy8ZzHZE8Opm1ONsLMpefTbQOejC6OPggMUPWdRbErrfA
dkUqj34wnesFwzum3bls2UsAPSVZGv+iaMB8qmH3RjB8PQoW5DieJM8sJEJ8L1NlnCK4vx78XyrW
tnZjvFRieJ5sDRwTUnBp5s88tF9zCMJiQQkLmMIRbOExc32CvBCzojL9COYNVJK3IpEv2iRNYbl3
xrmTAa14hG3dGtN7DcVYuuYJ+zNfQPyuq+5ldiwgbSNXAi+Fb7OJL75nvwULGllq6fF0prIuC8Rp
jjCfa26RQ6JsYP4LXhkaYnKwF+TysMCXR7c5etIm5ryAmRsWmGY5NoewBgrSNh2sJ6M6ENF8GdEX
x5S/PRdUPNgwnx3YzyGWVl3IuxtMT2WI1h33Az2w0zPoqXey+nTmkCDt+hB9EWpMmlJf37fxEUO1
u6Cni9T75XcWyOGyQilxe5u2a1DVJckfKjG4LyXLm8HFG8Vmiuhm87ODdB3kHadcG3cIymNkDd9m
UN01Vuk8hBSP8rSiSaDaemTTbDjaGoz1VJwq2wFtZODf1+E2WMDbuRmSi1FWBS5EdmuvHB45vD4X
8LrdBdzNdbCXkLxniN55C9MgGN3nMaWWnsaIbVMxLGdwwJsFCD5CBu9G+kP88F1U+4aR5qAXoLCY
KRgGKa4b4OLpghnHgA/TZUGPByZzkOrDYqNCwOTMWjZGxAVWDrW8yW7ZAjEvFpz5tIDNCWLkVx/W
eRgfc8jnunDQNRcYOhChZQvwNkJJt6ClS6jp5YJPdzUHIF3hu+84jFJTzU/S38lKrFuPzRoMdrtz
F43qqcdUsRpG5yDYUa3y8MQ4u++huKeJ+ckG5mxBdx+cu1hg71mKXDsSfMZeWm5cEV/tcbIfzFrT
oj1uRAg0XkGPH93gWS04eaXZqoJnprSeT4W6sH49tcS9kym+NC26dALaBPcmD9mJdgn+eB8Ar6eb
FfdiCeTWtKEZ1UTD65CfDNcgRqA3ndUQxGoYykDxzb8GDAMHHii3da+zV+wEvJ5h6Y8w9YMFrq+g
7DNA857GMOlyst0NC4q/yfnkMa6u8aj7BAISPLdQu8IF4V+mGCrYMaMEg/cfGkD/mGRHsP8K/n8y
UgRQ0wjQLdUA7lISYNMWIGgNGCXtLdXkHDtMTnqq0v1IwwDmaJ7N03dP80DnUkHAI7yh9OTBxKq+
VBRMYFIAv93iqgBAUXgvDW0GSUx+EAdWWWEtq5bGZN//WS8FCAMOhXWQ5h85xZm73reRND1n37Y8
TctSvuIyRNATiLB6ZALz6VnoRkBN5VK9wOKTEoYesz17PQx/DiENTFQc93gaDkt9Q0uPw7wUOvhJ
sYCI+MWj7QGn4aZe6h+GpQiCBi9KramG6MikL1URdWudhqU8IjFwPNb0SaieYgnLZDRJdrKjcCIO
I4cziX+2a8oo3KWWIloKKrjXDU45a9+nuoKz31ut+YDagbRUR0tZ7lsbQd+FXoov7KUCQzx5SyGG
QzNGuDRkLFUZw1Ka4WPnysRiyEQU3uHDKJxpMdGGpBoxBTZN9adzRH5Aozg6Kmk3ekCBquG8odnD
MxMlNJY6OrojfCvPq6/5jPFrjN+GJVpR29gLpnR8tHMGLDtzn8wgO5nx8vApcP1FDDpZ9EjUDQsY
EyrIBuachmsQmQTTsyDUUwnMYONs4EbOkF2hRH67afbUTuDBHJiM4Djq6LWqWZWEPbIbXgEYTqBR
Nfc9OcjkHBruz9rjEyb4BPEWba4p1S8f8sxK2rRENlzmcQZ4y57/CNE/i0ecI/B4yD2tW36ocqhj
SKrNFfv2t6RtlCKp50UBEsqEzkQj/coS3hOiFB/LFF3HFrOnZw3X3sEXxfQTJUtVnUX+18urFZI4
hmwIXjV5IgNoSyZ67DlcPgxHFBb6fBfTsjETI+vsntJ78onTrjH5cpKm2bhxwGoJfAekB3y6BaJc
w0mxqTLEcGCMuelRv4s7lbmIrT8iA0UV5XNtVf0B6/G1ouSJi88b2B+be58S1aDBwlT6fETh4pah
Yozmuz8okK95jxHXtXreIEbkrYIB/HdAJe/UTc067fsaMQUbok1hA/uLJfEmxzWmtI7Su5KMTPej
UC7ttvKD95OPzxEbuq0UR1SruxaKC5A21YadCHvcxJgHak8S1uWeWs+z0XIlz9zFl6SkJd4MMTPR
b7AiVUC4uppJHHj2zbT7N9F7HwHlELwbPBe3vbXCQ069JijSprlmgfXLdRd0sUS+YGV6882hPCuR
vDogM7m54f/yQCt5i08OykfvGK+VfcJ5S/F7Anw0TdV+Zr27iQu+/i6AZIxXlTLJ7jgH3e+aFNZ+
4tXjcxxaiYnjZMWmpgivZg9iPoTjmanqFL8kAn8AM5WDw1ycBEliDLrhH1rCn5xSwO0v52PW2jyX
HQpJhf/pm0rDQ+4gMpcHvTzhBRENiD64vJy8gK2b39wWKI7g4ttSKkK8/9kznfAgVX9mHuWhmOLS
DwyAXomXbwujsDbFC/AnxiZOQE3Q3pVM8FYHKDBZRvkqZl9OGX22UelVKiNhr7isMQWzKAyYSz6Y
gORbXHhDMbQbhTN/4yBK1mbw6U+R/2gJwTqawTMjhpJY3oeoeBx1iUXWNvptORmHu959CNz2qfw1
GNZ300aEpHhm+qHxhWvwYXS8hsAj3hDDab/NcCo5XZUvQeY2e7zmFBBxVdCjSEBnoerNXvCRT5Ru
+BZN8LF0212FDjTX3g+qdnif2ylfHq+5dZEBxLOddMLjjQk3E+5PM+ZMEHvJh8mUnFDremjMGxjO
Yyet+al3i11XcKXlJQvYXDIRKcLepHmw66smwRVv9huLSTeXwjtAW/5qK/6fiCJYAjuoy1htpoGq
V4anYONSs2EtS0HyrfbA/WC2nr9KA2gzDfPtMdh7POxXScnBpIujNzvx/nSRFrsaoJ+Sbzohr5T1
JNwTbog44IgVEMXrElQbOdevETiZU9zKLXsLurNTWI1umlK2sKg/sMHz+Ra0DvcAbKqHyB4UTmvq
uoDW7fiWt9MwEhWdoz3ySXuseXae68C+lRlvyS4GHMRGJaHGBDNcbCE0xpB1RWBjrws+1SAiNtLh
wZyZ+SD14f/2SYPJjvjIFMmd4c+fquyPpujjjW0td3DIRWlP3bF+ySf8iBm8m0uZwP/1EnQyOAh0
33qsUX159aaKhhubFIdttXdND+nKzfkSGB6wVXK+g8swzx31XwYl9RJbNz9WYs2lR3zKEfcGChX7
dAMxFRknT1v+k6Sy+BCwRQWcctm7PFVRnx+SqjkTR4JoHLfHxq75OCQ/FeA0LIT6pjTWeA0wPL+6
qQmUQdD6W6fjaaz1LSLusikEqYWUTPqct/OxyFDPIGytoySB9ebDpbYDa1sN/fQwF5xRDYbB8bub
oxhlAgZuE3k9FnKr4KPl/hmqjshs2j+WnFx25MXTDVjKJadUH6c4RXQr4Cl9qRyhJtZWtu2K/Ael
dQZqpjMcGlbf17LKJ3JBJElqRKadQ9fT3YehMJZN+aA4dkm8u0dZUmhAn0N+khiSx6q3j7q0Ji6M
tiBehyuf8EfBMTPZWU3XHK06/uPZZnh3OMwZ872kwuYu3tnejDfk3Hzry5mHTz7vAHm6dxqiF69G
TBk3QYQ6e2lhKKONUO0WKeNxEKjgGnrIBsdxsonahBCNnckdBzM0Mr21sAC8dARBHpNwvFlWYj5n
VUGHiFf8tmsKwXSKs0B7FoakgjU+XidSiwBEnhcThuUoAOPB41BBtxf0umy9VHwCK7DJaXXlqFaN
7bcETwd1LnJAUTbBebhgcfAYRsASGtgQcarTm9fxfuiIuOy7jP03IjG6ftA1hyiZvo1cF6cgN9a6
Cty7LP0VMZO95WPOVilsotzGpeJ0tORpD2h22M+7MQL+wEqq2OZdTq2Jax3ijK1c33n2btBMw6lP
H/Kkuks8EeOxOkLo2EPHs6vCcjtocaWBEk/bGBk4bixjDTKVSp2E17YaQ7nCO+x8jSY0346AUJ3a
9j7F9b2eaWC/C8NMt/FM8BoTz9KKUmlaUXwCJK5qn4KJNt2maTw4Fhxoccyxvw+H7YxpdsU72r/m
+pmUMIeRpO0vHsLGajQKrJUORoMmE8ZmoCE7ZCq9ZTZ41jh87NrO3KiM86u1AIimpRBhmj7TLuIV
ja2VQg1fT2JdAY3alWV971rOw2r2vmi82tS02MYsxXe1PbyhKB4kxRckrKFkSLHUSRqTXJY4yd48
GmgfpyYLDyxsiJYOy8PAEghkvDssuI27KbMpZ7BfwKq4hJ3xiMB1Gi/DMEGXHpk7WcysUqvJfrjL
mOzGamMEWX8feeSB8zPD8zzoFvmmo0iA0IYxU6xtQbr2y+ApS6jTVjaJzsh6ZKAMKCmGjUhSCM8p
Ly4pqbETrfXBk6raQd5/7XKnOatgnE8oA9qxvHNtw9r2xmXLFN4UM+Te1tZr3L/bBt7i2B4Inwh1
SIdvi/dpexgskFTAmAiwnMGROyfBEL7pMAREwkaiCXEMIl/hnxD+Vy+pzqM/gjqxEHsXa49XDM4p
cFCLVGDOWXXOnGPUm4ibogekZ9A7bn75WqLXhvqeq/DLwj0AqelMVURz6gYUTWJrCPGMbjFaTkwx
zsrYFRVUMT30DdMim6s0Y1Vu4NbDmJHv0OcvpkG6WTTFzMsiZ7fMyoQ90xU1pjgZlvWCej5uqXt6
IhFX7PxuAEui4YuzBORsBU13kv0pK6Z1xvMJD2/1Dm20PLjK/mEWrJ8tdOkG7yRpE3EujJRzllf2
G4gTePVjb5sEaBvc4dCEbTJlRRx8wgHfGlmu9/YsAN7BxdhjYlNH0fJepT60RiB2+2cgV7e2fW5m
N/8a2vxF27zXpWNiIiYpXCX9AlBpVqkhd4LF0AomUrtn32WdOB8xHRBobekZIQTXFjTmGYraCXc6
u0T390MD5p3NeQIxBV3SbAb3mnYZJTZuh1bmDZ8u8jOQjnQgFB/EaEIGGQ5Vim0jvNc40tMLGiGM
YkuT85/wqDrkVRFwnelk2Mw9TOlqpX1Pnw2Z8AiRbvYUpSEtlhO+kmQ2tlHdu1TnFXcrjY655ZvP
EcQuKHjOkSOMd+0IrTNnccVkfOKkJ8pia5fW+FyEyVfUPNBmED70Lss2O1LVtotTUCkeIPuQG3Uv
DdxhDomcY4aQky8/rj5kOAuHSbNlo/tSy4k0TR/MdJCkZFsZ1NYGqoesRnDrNQxFCzMxXe+AF7Du
tVTBvoY9Bnq1bI8hhTy0HmDiKhQAe2Iq4oL6J494dUXkXZzWh2RoKM+ZFfJbx5L/EnhC38eUgW7u
g3LHOLb4EjwkyNmnq8Ekt132COQ6NGq2rXl574NMsy2znp3SK9mlF6yapFWd27SdD4wNfuiML5xg
H8P4twdT4lhpPT+Ae672vDVpCl++bW9yrg4eRnjEzA8AyR8FpBWqxyBKDHMiWZSKVQhX5D44RJL7
pQCsN7d0UvbnCdP1Ng9y1kUhbEhPJ499i89IhNqgP1UadM+mqPBD+zI63c4fdUOV+rgZ/YjSxNle
GZiB1lGa6Qt9TC+FrC8BxPQbcgU6OHHftC5BPkQwOTTffmdhE8PhPm4FXJR1wO7+kpf97zjdjtwm
VJq40Uk6KeerNL5aQ81pRvXRyiiTiwEekcg8815iwBDE7PDat0NzZdyrNmnU2iyR5Qsg+fjERnFj
s3k62SSDnYVXkgsM8tayI9czMn0ediejYbGPjChTxTBWEjOjuYmEPlXNhrRsXBcUASAGhciv+VNn
jsFxpKuVOQSuZ1T48CCXeF3XzWddfzR2NHwainq0JbMMcOIUNYw6be8ZNLBH2WasTACs2JseZkTd
cQQNMrrO0ZXDquCWowYNH1QXwCOf2tc4HLtHU3PWg3KroSF3aldNiFj09DHSNuqpa8Ni16fEQHoL
qLZrufiUPYPDu5nOlyp7iWszvoBTMi6OR0hzisT3NHrurXPwC9JfCRKFMwNSUk5MJ4PmzGrRML2X
SuJaxia1qVX+jSeQd7eXgA4lz0aX0e8GMTZVlGy7FDxxdfNWwH95ZHymWWp29xBM9nk8MmGy7IOl
Nb430RDSj6x/6sVfo8wA+ZL119+/tVVUvWiT/aiMgb/P/qfb9j/RgQFFLnZIs/NMMkDc1l3jljzG
vskvjj+UFT5njM5TQ4DDY4NWFUV5IN53yHpDI7BA5elr3nQ2RznCzTrM2Q2B4eSTJ9eA2Y4+vkgS
FANTyZVisBxkNlKq7reTMx0bHPg0TlYr3ebHzEop7tM/eClnR5uFxGPDAUTY7ntcbzEd2rgqp+bR
l8On4yFKNWg5cdzy53EHBJOP7T2uFH5kumRKXLu/yLsdaTsxj3WvI6rAwrPU1fhOtwEPQd298B+W
D9p3xD6S2XQepg82+uNpKJdnmvJY24vsbiyUKDLh9arv3GPO04D3dAlmyDYKTHgN+TpD7PtSZxSZ
bGQKgrzIYlQXoR5MBQ/BNH/hz1v4mf5Pyqsh/Fi8MnBddvtEfXu4i31sUrKL1JsMRkAF/tnH9Lca
bEU92FNT9PVLEo0vs4QQwaZYneGEnWTh0UNsJG8GLPdzyu+oj9WkgrtcvKrAOfsurShFYJ21MqLn
IRbcIjBDWDd2lyBQkAykV69dwz6D3tH3iod860bGrUsZaFlWFX7aXxpg1CuB1k8fiUNqgc0tW71P
EXEwC90oWmtNks8EIpEHy2OmHcgy581D2NscRzE3bjw/vzrCHa99l/7O6Wk+BrqJOTg2v4aWLwCz
q7hOKbXGRkb6tiW4cyJAC+V7ie76wqH0geaRK63BRKfykMy6UyZHFzc0e+HkipedWkHUTWmRFi49
bT3kguQx2FR33cceXXXM05dq4GstHPdpMkdxc4p0j7GZQ2HQf7dWTgWcbioKq+BlsHEwDvMAVG/s
yYBTAb8eo6SkswZ3zoAxuM+z+BiKIoBfjUsqw8V7BDe+BdmT/nJDBdVStX+iGUtpp/34GFNmXMFi
v/jRt5HY5aVH+rh2Tfcfv5BeWHvjKE5ebwdnhZR7sBv7wuPVOcFPRsWtFlqV8gBpGc17xrbbAO+P
gbVKFpveVWVbm1DyF/9FiFOk+ikyyG5FxBG/4xutQqfC4IVSLzFdBVNtngtHYm1UDGFBrIBkoQ69
kO6uepRMWeKkCafIQTKk2XwOZbG3vjLL1Tuz6cwfrYCbK8uChxPYEJL6+lAoKhpQZvcuji4MBlUM
xZaDntHI4MgT4Y0w2AeLKCj4TVVjMBkx7E7deurseGXMc/tkjxw0c4vtM/5HuZ5E9YvyDd72Q/XY
eEG+tZeaDVvCvmNbThZAHizYSWVWasSliYj+aN0prTd5Wtqo0xYYwwj1jZ9/gExEKTmzD8OgOTMf
h5zdDMNs95TZtGvTX6yeaH/WXGMrytsTpeRUKhllhpkTOxDpnHCf9x2mXS33TjVxg1NtW2wxJNKP
0NOySHR1pNay2Je/aKsRh8LOsTgkM49TExDPatAsA4eU51JrOXBpphQXeDNMx56l4MlMH2aifbvR
dvpVANds51ne2m3DhdYjAUg5sfmvX5LKtXZxm5KZ4bGwFgUICbNiB2WECy0oJPKk5u/WjseXEeJ1
xEf0oCty8Bzt8qb0T7HkPqCBvqFstZt2/DimtS2fJ+gylwSM25ObiREqZrKtZjXiRgCVS/s8vJ9I
/polKicPOOjk70biEQtS5PfMzJrOZmffax4oaxI48bpPsu+apMo6iGLjOBMsXCMygecebFKMnXp1
Avt96FyLWCzEG4+EOUTk+ezEi71M03HWcfUii/f9A1phDnFNNLtAt8Pa7WRx+/u//f0d2uyJGo7q
MrUarE4eJTsxy4UjQ6Uzv2HEAYWBs247OoCbWA0OT5YPwjluKVxIXdhY5CyJj8n6PMEk8pymPbdZ
e45NFjlJm1hIr2wxmHeA/XZPM8smuzOzFdxSAhJVUj6SiC8eCzd+HyyJftn2+gJq6VZXU38g5jns
nXlE10k43cyZfE0d6zXlcnnqy+RVVd5IDjVBgDz0WS8fuLHbj1EHD1Pxs83i5BL1441JFKdrXW4T
qrYx0k0DsUTPu9h5al7KLn5VEM+eOcS4zzwk+nVF2h3Jctk7CQBHjalxqwv1FXYVQTeRfdYTjJC0
Jo9b2dTQdkql79r89hqRXuOE8EfgSZ7JS/+j1b+VUfgeO5gz+Uk8z8TLVrnPKVH1Rr3l8PjD7YYc
bEEutuBfJrVK/PGmMi96rGU+r8EjHBHNXbjU/DJ2LQ2PjLln7WsKaTTRwXnDSA16KmHW8ca624TO
VO66EKKDiDgxUkORP0JuAPdNTHxTKucemoH3Gnj9hRg/iS7fwODkkX8DmLLTyYCXP0AzAIC3kxMV
DnNwyMz2B2s2BrqiAB4l1zndSJsGpFKqycgxHFTpjy7vjbPfHqKi9bcSpZHYNDU81kMY5S9Ym/E3
8lqoHICNvCBzW19sp7DPmO1++sINsZKWV3riMXi2V2HhmZM+Cyv/VED3+qwLd1eO67lxMOfPiWDX
bX6DmfnlKezSRowaQoFfedFHkYMwt8DRv7eL5MXWlbpAgzNymhXpI54yuM0o2/DAXQgEdrUhW+Bs
7AbnRz1Dmo9T9cGsnd10yzQJbedXWAzu2esnXnPtcAKY2q2rjndsP3ZcRt3R6fzyLY8QmnM3Gn6W
bf2BakwXsLBOQSyCQz/6z2npTt8pMttsdC1F5bzoxqxNido2EOc1JXwY4n+i5ga3PJMPhFLJI9Ru
R2EhGARll9XGC0cGYBWOGyuqx7WLbWA7WvUeRdH6xbyExsm78VGJuKEUAQRU29LZSKbNuyb+Pn4Y
u1l9iJDQXISszBOBLWRaqF9zMs3XMTVeOE5ySsB3+RxD1AfImlCV4vB9xZhkHg0NCDKYwupqG4So
mqxodhob5maw9F6G0Am9ZDxizmVC6bHottVI/yykmg2vF6qVBh3idcTM6CvjRNzI3o46vtCEOh+K
3p9PpHKAn+SBPFBun13gIz2Got61HHi+uyL41XqACbCBepsgwtXZI8dt/W88epRPZHRiaMe44Y67
i2J0tgxRxOqG7NSgJGAQI5vWFehmccPQnDftfFKl/LRdQKj4DUntWueursq7kd9V3GYP2tIwz6xi
2tptvuiy6gXK/16MQEQyZ/n26TYFZG7IhhIuj7tRoM6vQsj6qv0couZ9gl9CDS1n9T+uC4ZSTzVq
G+wNlm8Rq0rhPi9PbHafpMbgQk1rXv9/J+HwCEBrav0nupDNszlgn4p69vHZUmlLtUoAa/RJy+g0
VaijPe+iDyua1gDRkssUO5IjH+ZNGeT1uSaFsZp1+sIP2H/k3TASN9LpYWizbANGhLxPI3d91IiX
kaZ0RWXtJWwhwbZRwcaDFsBwmAlL+fTugJWzita604QDPmLG4m1F7Tux1GOD4J0MVfuvg5qYRHHx
9C0sofZloTfi/JRPtarczRR6w0uW8tEortltVMFIZCXIYaD24/NEQ8a6rVjGiXwcKXPugh1CZUNs
PcF6HQ321s+Ig+uqyvZW+6ALAwLsLDreiH52SkT6VQwn2/b0mmc2jmqfa6r1TyNR/g2zjY8F0pSn
Bpkwb/ijlunQVsX4s7GoXyARgvlIpYQJsgZ6ijM8VCpitklIuBb0f9kKy8ysk/miQPGJ5zbHWyEr
YqFVjEm5xw0/KkKUdkSfTsUAhtKXZDzWUuZkHoljoQzO+GT0+DB+FHi3XScAcpGlwQn1+LXQYXPH
EcbBYYrbvegGBvTeP9W2gtfjP06jgzMsN54AwKZ7OutGzlrVeOJccEjjydrLnCAPpwq06WmMz7NR
nu0IIkKz9CW0sV8drCHKT01uij0eHAgTihqegGxbVXU7ryqSo+ckr2lZwgtEPt9I3Hr0JFsXz/Zm
YDeMbJnnJnurmXhoMO9Lv7mU9A0YEg/jZLCN9qPu2Qyz7TQ70SWrA+pArEpwA6mjnc/j0dUG9qE5
qXZt3DWr3JPFRSWAnqriBh5PPEV9s1DmimDXlcOn13f+LU2mEG2Gm041lNpnXBIvltdjxm2wyTdZ
STGQTIIV+VFSZFk7rpy2sA54pPG2+Mmiwku9JrnCUZwN8FZ4WrFvbkBXJPhaBoNeC7NU5qfsr4kQ
D2n+RrFiTcGt+aTI8q/MoBt2cERpWCXvFJ4m8dsV+OrDMJog1A2ahdTwc+RsUGBqNQuOeLV+Z1CV
R6eQxroPu73sgWVq4mIVZDUh1bRq2AmAMRmCzVB009H3ooOQVnk0gx8ILbxCh2hHZIm9qBBH086+
CnwtWqoanSXN74KfXATG5KHAzyd1cIWCc+sXR6PTt/bRBPAhbctB1Ab5N6V2fBqb+KETaJ0Nuxfi
EpRSdRy6TF6jVy+FV17qry7HBB+ec9Z2NTMle9e0YbkphkJdgDDTxl1G9q6GfXyLlLQgLNBlw3B5
oLue4k0sLx5J9qPE7IdzniyB4QIk7GPq5aOgiXdVqniMmOThI5PYgQpwxgKeyQj/B1WLVZP6we1M
JnBlCAgPOBU+ZBuvWVOH29yKlxLqYrrpIFiHUZDc7FHITcrWF/0729nNNLzECTTKKrS/nAlOBtF8
aJt+sas9LyX6JLJNoCdQmYX2ftTVUJ3mxv2DSc3aAWXFVxia5o+IYNTGL7U+OuF47ls/f0beugcl
yfYpresN8dT2kFklfZ+xeZt1++kbbbz3W+UdSfZQRjYiNFaieDH1nbvdOgQNPlTw0+sxpa9l6ix8
dYlFANbpu+2Qe9m7Sw02prHjoLMfMMgP2jLgzclmTzQNh12YzptyMQ8W+PDIjacNm3WLz2vtiOQ5
1xMnC7aMfrv1CfDT2dFgrcCQA+Y12bT4+4FU1QVHFxY++AEHARwePB6Cs1KRQYkn+4vcsO5mGGfn
KOJ79PESdWWDl8Asz+4EgTN1IoI1Gdi4duQMKIsHZxCvAxYoxZN1VQ/xD+0lzqbQxdZc7heDdYPn
5D97szJWrpcR9VBfjW2HWzNDEWyadNflWIeKGBdiAMCKLm6grbPLVw9o5JUIMDa/OTsAuOI8EtXt
zfHiNzONRxxeQt16z94Cc9+i/xg7XB9yF1rejrb6PTZFBSw9VxCE3XsdKxKWiRHQsMQvrsolehoJ
7Yan3UPEim7vd+qPUU3tOVS8vAttXyY//kybnBj33DV7TDfvhQU2LCljCCe6ug4GO0k7pYOkE+hK
kT1RDO7TtmqY96lqST3WXOtDOp1KxYRPDuIyavFmyKxc9VOyT0oWWxBb0HpS41UHcYtkR4YF6hHc
xcx01wT45a0OHG7FMt4lo2NuRWkHWxUWwWNieh7N4jjh0SoY5GUbspv5lXdhe2spzuSRT/jCwryx
IhC1NWiaZSy/RKpp900c4jadG0FrpvtROjK9ACG7B9LB8573d0KlXxX3jzk66sp1lakG3zTVV+aS
nR7YpqAMEhhTYN2wWLsPcwNM/O/vxuz8t2fjv1VJsv9dP3yK3/rflz/1VUuMLkna/q///I/6X/+c
/K43n+3nf/qHbcXYOT11v9X0/Ft3JX+Uv+g//p//v//yf/z++7f8V00ipoUbzPkvykSqTHbqPxWQ
/J8/9q8ikcj9R+A69t+ODtf1HItSkOG3bv/5b5H9D/pAgsgjTWovtSX/T5OI9w9azwM7slzLdjzH
s/9vk4jzDyJrpmfCmPD8yHH8/06TSOi5FIXUJe1Z1fH7n/8WhKYfeJ4XBHwJAb533+Tff31iR0j0
P//N+p/EuippmEV06EI8XfQ2hoB/M+oa24BnPsv2rhHDqhrZtHTC3/eseKEZ5ASePReGVdyewRgF
Pmg7i+ImsEcj7YJLK0AJcAZZsl+XjhUei+o9NuQLsuvaYlv2kBoGwR8LtkzFhmWiCGmrDYZqbhyo
Tx5BNadPYIGW7qYC4YaXeOJCL7JT6n6PaMDbvozMXf7j784o6gPj5FQhCugMlNEpb0piUFfuG8ej
5zxjBSNBza7FvJ0HdoY5/JdFVPphxRww5/jvtEjspZiG595uMLmUCeWUeHKBNelb/jE7E8zPkIZU
qUNqxjIW9yBunFY/VtlnUKXGoyjYN0lhHLUVsEGstXX3ON5U1pWY1FNfWTwSM3WZlwFWwtVDgMRl
7Zhrssq4K/u4JBIS/yl8BD9fa9jlcQcVpcM6LzoLHPcEUXD2UxOCt/msVZod2t5880lpbSOHRLgT
7Wf1EsZderOnBjG/BgDuCgVFwS+OvmowiznstQf7o4IcgDlkqaiE0D1No9oNWTOyfe/CfVoQYG09
fn4JYJzdfBE98nmrzMOYkbMjrxUY0UtkUJ9Ge9uEwaJ+SY2g3/jEVtcdkno54NbEa0sRJcx1JAWm
1YgzN0HedE/ajrRO7xGVC2D++mF+GuPR2E213W68hiVjaEfE0wE0MrcRiII4914mBcYxJ+pvRk08
ZnALY22mFkEhEX8VjG2E3+v4EhU0OhW1pY4qSP2zKOTVRQ1b4fN3IIvJu4U9Dj7BHK5QjfT/pu7M
miM30u78VyZ8DxmJTCx54QvXXqwiWVya1c0bBJcm9n3Hr/cDaT5b0ig0MTcOO2JGIfVCFquAxLuc
85xDxCocrBOZ7FbE9l5aT+PYF4ciQTw1fBt8SLmWsvx93oWAkgl8T1lHhinaskjEiBWjKdv5wMEb
NHaOtm+ClEdomUKtrgdE0RM6ekQc+X6W/Nz0qniEia510TLESXYHqQZ3jtPs7cDji7VuRwYWOyOM
VwOvIWP34XSnzsaYV6rhELCJwCpatdtQe/LUVadOe8kl0+qdHfSLgbVnL5ng7fnUwh34EptrzCcf
uGOOQu5bcm931zSWwx7K2P1MosdaCgRpWciDx+m37ozSMGxZcCUjW+guuQZ9nrFrxO6RLv8JqIbu
olI/XMNNt8Xki2Nj3tsTrVKIDZwrdIHIDfYLwHM2LkvWDqERQUwOhmcXKCj4EbcJRomtBXpqAf9F
p8JnKpqG4+egPG9xIsN1t8bV1DO6tsmVNn1UGTOZtKehPVdWf0q7fmNbLdJX8PeqgXyEjCKc24On
MHXYwE4SbD5TsHaX3BzyhZ9bE3L82EkUhf744pcgjnJSH0fnrijbawq5InYzeYyz/OwlxbOZuAGD
CcM/Onm4M8XPStmbDJLZqqhhxvemhyCESHk8bEgZHZvdqjQZ399DcpluSD9Gk+EBXhS5fyqtUCFQ
CIcnYIRb5h4fPnaQ1cDg+z4OEDoADCjPs47dF01t4IUBLoMpPDmmSO4Y7LGM0oWkgbIawDluf0N7
2N/Y1pSQ3EJVEcnaYJKzMeNQnKxwME4kUkzIuzFxF3lI3WVrVguDB282j8gfnZPozGz/DWkQTveU
JR5bfpeIb9CvkneZYAvXJwCEyR8apdS6SR1CTiwV2uiDiuaugC7EaQNMXWOyyZmhIdjUkJ2LxAQH
zyWXkOYLI9XGDW0wGMieBHejE8e31IjfEtQQgB1OYYc428jmEw34ZLARJug4hZKE8gnWN6KzTa2Z
URlVIvaelb/1obQJKtEeucLeD3rH9hgpQqZKIRjsAkM9RA7q5KDzv4iIvqkJZTvSHaM7oEIDop5+
NHZ8IIh040vMwLONgISd/Edr9tYqGE063YQc1tL5WfpwGsPUmADt8LGa9XgKnMHfDi62Imkok8RK
OvS4Ko/EqvrXqYzcI0JR1teD9K9O3pLdAnymCeStU76KLPFv68n3NtaImm6I8g+m1aSrx/ux7j8n
q3cfNUfAdhYCz+zCu4/rwT7LeKEGEx20t1MA2qNXfHMxP7P6Mdi3WfO4bshcxFVBkV4HOCWqmHdK
cjebMc8WxXj1yQBZA58YXb2HBCNbhNogwysK604zxPP8k4H+ZpPUCVdSWGMHycTzAClhzXOeXrlF
slCq+aDwMrG/oTdjo80c2sOqFsdM6wnRzJDTrDo3Yas4O5e08YCDgEXm+dw+SDM4BiXNab2ofi03
AIPrAAgs3J/pN1ch89coci3pfA4pTC27XShtXnaTu/0dLpta2+U2bHFFTBjdyty/9fvmNTaQE5Nb
mvSM2bSTIQVJNk7OwNFxiMzRMJ63lmm8h3xA1ci9ELrDGbx9z9RYXEa23MweLgU6MdM7BHjBCIG5
rw02XRnqxX6QbPfSe18Z1+UjtmV9GhYyVanQKfCgdcNYbWUaf1odud79LpfNcTaj27nMjkAn2WKT
EmDTLRRzvDXBl+CKemPKc9vSlxKQ8GnU9sNiT18I8CA2ag/qnfjRyj3ALWtLACQiEbPnKhsVYQcd
E2OgGeOaiXG+m7r+LpIKOIuf0D4a4U8zmE5j03yv2V5aTHroHKXi+GHEHYwwJHzPk2cWtWANFbJ8
HYHHxyFsju13HuofLf4Mqp/uGI11eseYI9tpy+DpTE/A/ro5t0uzIPKv3JafaTTCULCajbUzigBU
aaUwmJJgk0lcKsTEnoKAWTY8HhGXxY5+GOGI6WUUkfNVxcatsrsJrhKtFnyoc5Y/qMDaht1o3qJ9
vp8DRkwWMQ+p2b/5Zse51hinvJiYJJrgfbs+PIBlhVeZ17fKEXgdGKB05sVB4o/AsXscKkxMsg8v
c3GCmIb9XTmP6Lvw1oQxbRXvJaMSWKcJxzDAnrJZcgzMgLlfyh4DeyESBMs9gu4hQJmU4MLu3yNI
wyzaya/lvWPPuCvn8rmPQNFlM2JawEhGBvwPuFdR9uQftGLD+oIfsZp25V3mmcztpR3tVHWv+mQ8
qLJ6yUvMODwPM/L3EHfm05q8EY6adrrYVXnqBHeqQE2wESNZl619mXsxggrhVnLIw0srpDTw62jZ
wAPzyDV7g5I2+KLcEyyntkNtZzt76Sdnmd5lC5Witij8mLl+tGX4nPsUGjiHL66FVoOxww2/zRAs
9u4x0UTrwIJcAe02l+V4qwUWl4oqaFPIRR4UG+a+jfK9PfrDTaB5CYUxZzeRg7XfVT2hLqXXnoIQ
PYjGnjENTGuHAAJkGnI+o/KYrbl6T0qbdA8cWwHZS+yNXSqbHqF3oe2FNfiSA1S5BUpqP5LzpdNE
3cXMKe8j4apdCK4VbTwDLQmgvYSr2QK2Kz2ET0Ok36u5PwlBUYAv5oi6feKmHZAAFFfNvPqGeZxL
zisjR8S8NGCPosHanc0ssnVUfadonnaT2zwp4gZJQiCWXKT+fTLBWanbe1cY1W2O/5R6dG9mQ4+S
L6uX2cEVM/V5EBlcI7yUgu0kTAklcQFihrL4EnmW/eyU0e6mbFuCB8RJBurx17o4Gd9MWCaO6YLL
1aRzk+SzWH/A3ZFVV2cp0U7YxPBAydXoIU1GgA+NoftsVQ36SD6QdoW3BW8SKif/iw1t3N26RGZx
Fs3b1AXSl/HU2Q8UQqaHEhLXPENhi6WFIG4aCONEboNQ14nepMdH7IQuGRM4gXAAvAHJP9VsoM6g
Pa4ojZk+BMYWT290ZG+ArzCExs5Ml2hlf+2lwcFbJ5oyMu9BxmHj4bYhBWROFP5g/1ir+iHS0Q8c
vaTBQG3AAz+TastQEjkVd+PZbPKbKLVw0QG425iAYxlOslorjn3vzUeWXJ8GzgZCoqwnGeKKp9wZ
WbdiA6isN/5/zWqIwzAk1rRXHBgyeszLkfNha9FfIDrN87NBQo+L7hNFFsW4nx3+81HHc5Hxvz9O
Nn6dVvyfscdt9EHVVHy1f/un/j+amVim1H8Xvvo/6y5/+wjf0n/8Rf7qb3/5n1MT9xeFTYP4Q2nZ
QjM2+d9TE/GLrTSiKlsIl/7vd0MT/QsHv/S0rYRj2dpldPNf8askszLER/phe4L20ZP/ydDEtvhK
vxuaGJaAxsng5tdU1t8NS4qiBswWmuHRs5oeTxOzTWfTRsVEVF0mvw1FqzDsFxFywgEvDrWY+J6j
nn3OK2Pa1mEqPoVXg3zMVLqEN5Qwo3dJa88HwwKovqrF4PBs8AQ+ncEcXMLFiYXgwsUOYZI9JsIj
bbs33I8qRRNAxtjwQk2TPOrYrMHyUaUVwbmMgBvhL0ouLSTi1TCbi1Y7lrJdI42ux53g+IehkJh2
tHJLtobAGBsfYUo3HeK0jSCJMlctSuPTxlq3G2sOzFni5LJHV9/oqcdcZ3XctikPh0D77Qt1I0Fm
ypytm27BFU2zqXZ+nzA5Ek6yKTA0shbV83Tw2Brj8+3F0Ke0qjkVOhIhJFlBYwUHEYD4XmGKMAC+
WuqISxt6LypqtCD42Q7o4f0T2ebywpkVwS7qyGEZGEJIEMFRVKJNcKuYk7vrm0NrpDZ24bq8eLVw
vuVGKTeI/9iZBC5bU8bc64BETwpGZ7ogHULVMLfut5b0QrkVPt8dqcoaSKFu2Lam/asM+IJ1R8Qu
nK7AeuxU6j1nWewcDNPn/VP4lCCjoQJlmsK+rvb8c4N166Ky1rn0rjTeBqtyXsK0yO+GATdPVAXT
Q8EA+0sOXXdn4/llsamUfFOOj3IEuHag8890UuX3VLEhRhjrarXXqrfvqEUQVLFFbkq8/36m5ify
5KL+bsosNlwCR9LKNPvstbQ7IW7GThMWYbokwW5kVLLUD3FQRTdukMx7Ywzmt6oQkUt/V5GJDQNr
srfTGAXEJjWVtvZOlqQPim6Vsz5z2xvbECEggtRIHgdkXMOaC8y3WHH7qbFJUmCfay+UaLwA4Y3f
hmyprktSW9mdsKutaMen4C5rYfo7XZD560R5/kNOHNN3ZQr1k7e5O1C5IbSe5ILfLKsYAVuMuBz7
n33hweBXx9GLSCEbOpG/OHac3M4BxQIZat1jEGv9vWukeHZICLrpOjXfzkZigkI26/zJhum5qjJv
Yos5G2uvinzBwiI1bxxv6E89ixL0QgnBvYYgRE5RkZHnJbFtlVgkD8SHFieRDbA2QqVZG4Pdgx4G
VbZXwt/11O44ODs8FhswGTYa1Gl8JWq+XujqHcRlDIXZm1F2YMGnjK00vFeWLBZ+Q+aiC15zFWOL
Yflj4ZTBohnBH8F6+1Y21cjkA+pC7EimEmNuUVLPubAPWP9RgMYEOqIpSXGI2tKVD1GE2HwtgY7W
m1o5YcryPWrUQaGNezW92rgbTC74FdIam2kQrv1HQ8XVrepcGllHxp+xVYI3NdvGu4qcOhXxRujp
Z9cxw7OFlR+8nOQrr0pj8UpDfrB+eIwBnsrRrL+ZtbLDXdmrjJ4B8cAeLi0/XJRV6ZeIvPyHOfVj
uinAybJF1Q3A90aiUNyOVBbvJAxZC3vA1a/Mk+2PlA0J2Rxo7PLTNHJ74jV2XdTkc+j9cGUDFm+u
GUbiterQv7WiOSBmwSDd2OGldXLvHe5Q++T1dskIy00giMoa9t8WvBfxMtrk3k10GAzrLIC9vYOA
aVrH0XZ6nKwNPVlVssoa3Ub/oFk3vtpOgTJII4fWe+AsyTYylf1tNefdjzmU8j0wmqnZoYZp9E3e
DJQi3FF6l4RucEwaELirMCOWEZ3xgntKyqBDKdsnKCCzyPsAXyLitZGPi4Eo7B9FLcJ7ppwT1aBB
0M4mYfSFtDnW9wQ96cc6tPI7NUPmgLZUtlv4KI5EA+9bJIyk8AG3mYe2n1AUHb/ViogvmRHOuIlt
rIjrUfDU4sCO5cbh8sSKi1+CMbrsspQyMgUdjY0bSx9HWl6vM7Pr1iglycgy5wzHTAwLBwh3PjkT
9INyPFgZU7WNlXQ+TUebvyZVYWeHKCT7cF85hQEpfeRXVtHc4SmwDCl/eBgxf5Sj1XzvKtl8jQEt
5MZoXZIrGdYGL2I0HQzzaRXnG78zbOPcdB2s0mgOKp6Z9aKM6XMj8m9nUqOI5ugoFgmR9VCBIARl
j1aRyzL0RMRQujZQRcwhoB+zalPeVamv9BovDxATGhoG6p0O+rUFyNS9r0RKPUp8J43kIFGSIUOs
j11lFkR5JpALtIscWdWKDMtaYRcinrmGHqSZV10yzFp7MWbNiyuD9jMoGTGxLR2Des2WC0TuxE34
NjCqoVNhf74m9x38IKhS0mrtgdFmEE8vwRCnYuXMBgGlWpfgV1j4Dfgh+wRuTcUdRDZ3P0usf151
jOeuhSaeLqG7Po5ftBFQqPeybFMwWeRVQZoY92nFTCRQdSQP+ZzyxQTwrW3bTlxdul5OozIyJyIn
ZoO4EhaFxY5MhYFWPqmbHjeIASd7rNR0yE2XdU6qCZOfytAqtjxk4FyZqaY9q1oQach7T43nJdgo
q3EeV0SdEvGW6WQ++GNiJ+shVGZHgHMsCGYaS1XekDePM9dXxfRasutBN4uwf6x09dNOBu9oGjq/
2jaxWOCexZu03PTbYJL1XQiE/40zkXDQNeUOIEf35YlyEcN4RHDsmKE44drrBve95/q+IdOmOQkn
VgV3vmt/KDeAWO3o0n52+3q+IRZ14ckN2Kn6cTLv0iFQG+7W6j7XRRStij4F9iJ6+vFipjsH4VI/
urrg+YwNlWjGpmF4jtDms+eTfZ89G6yvNFmX092Oz1k3do92H9avdYpKAeoyA7kmNe0bH8n31QJU
s+m9qN9PdjXMq8Jz83sYAcxMiGaxW3L+LLVCDZl+M8DJPDLocO/KCiwHr7tCHUbd/hp2siBms0Sg
3UcKaOEs0OyIrPgZNhkjupIxONS/BaQ51Z4FOJ30yyC3ow8g+MO+T1J9T6VSvJNIAeQknWZcqrS+
0OaU0uTbB9NNIMb0lR1DfhvmRCtZOm0OuvAQV+ki1+v/u13WH3bQ/28snaUjBB3Nf//9Wvuf6+pl
b/4//tuV1fE/Vj/z4C39/db5n3/vn82T+YvpKO2w0qVSlLZm5/vbytmzf2F7ZuFMZ+/8x42z+4sl
TZfQMNfWlutK/s5/NU9Lx8VW23OpDbkulfWfNE+C1fXveidXOWyntMXm2rYEPG/H++PC2VVGAOjQ
8fZWHv+grL51lfk8OvZBx+WrgZGmA6C5RoNhaIzZY/FUVOb+d2/Z5bft9j/yLrsUUd6yxraXpfZv
v/zr0nt5DRRslnLZfyv6uD8tvVkx+VKzJ9ujxyUl1tZfrmve5srrtxXjgY3+6Acsog3VwOg4zo5j
G1UL2aOw0PqY/iKvPFZQ9taw2Au0MyPIKIAA4YYgIKh6KNM9eXQqU7Bjc++nMv2yizJc2zRArZTw
Dlo6IeRfmzI+2BXWmNnht1WdHXKBOlZECD/nmn+wK5T+cCZknPErsq0oYL9Sw5xdLU7IHQTICxY2
8qrHlld05KOls1HG+9+/YeKPDe+vH5qyPNNTpm0Ry+cuH+rvGl+NoVnFU+btbV89M2ELDUoddj5m
y3q1yBVSX0LO7CFYzjNWTl7A8H7g9Vs2eDCN+YMo8gPk+NNgRq//5sUxC/iXTxOLOVlHFv2/tYgl
fv/iGFQ5PsNEb+8xNybJfdpy4Ow8K/wQg/dsGwBFqPFxBFTNDVFJjKQD4/nvXwNTjn95CbxBtucS
EK+ldv74ElyuDPIjY28vC/vAk+k6stlb9bV5VXWCmhl6RGT6W9ao2W+H4G+qlr+4lv/ik7GxHUsu
ZmKXuG/++J1r/EvmGHt6L91w7ZoL1KkZryMkN7TJFYWEJ1d//7NyHv35Z9WcBhrxisnta/3p5rF8
aqjB9sG/hCAfgXbQ5KfdI+yGj7//Rn/xpiKAcQQNLehpRG5//NFsY+adXu5S10s/8mUNa8SMfmnO
SuJPZH6JmFIr6/7vv6v4i8NBC3onm0WmvQht/vhtx04VhdsoRqCZ+yFceZ9O6Q2W9G9a2N+72iNj
nKIFxs96pPP/+2/u/kmOs5xM2hKelIozUknvTx9nJIhCqt3A3avQRSTTslkrJVgKC6ljwybyZsDh
Yyxdv0Y6DyL3QJ8a7WuTuem3KAKtDDyeGEb1FLPO3YTJeO3RDKzrprAg5fDnSQSlHTQp7+OE3FNo
Mgrz5CYkJW+rieYQDZm/YJXWhM0WKwY8NYsDMHAq3TG0tdcuMnTkw8OVZtralo56dzMsO0oku7bN
CRWCn+tOApIRE4yTL8NzRPV1CDRbqWxcIIaJkEcfir09gUgiEIcB+pi9F6mcQPDCOpiq+TKKETtU
wyokmGs8t2UGGTcAhiOBi2KsCBfF6iYosec7kls67FgU+kDomoVY49jiu0f86T5Vo7tKmeH/m89p
mT/+y01ga4eHKUq5f73thjyyBiyxLgDzBLkhYqYYD2wU2MT+OIfM6i9O5/zAtf9KK/7VW+MeC/aB
ROMblBkXgkHOBWBWK2PFPzqEc1fFRg/BS6R/Qrv7qtQawXLEtAOXQ+UP+ODIp5wXQcBkKQY/AEhn
N7/8/cX3l1e+5vmutHBNW/55vFnDIUPVnNL3VKT80tf3PcR4p+7uyXi8g6MSTT7HPeZv9rb25u+/
+3Jl//GZrE2TwoMDybOdf7nywzJsULWz41dF9ewW7sXQyaUqnee6yF6dnDUhy8N/c3hyjsi/+LaW
KUyLzSn2AuR0f3h4VJmQhms13HDU0Nsma27zqN/xQsy1WWWvtR6uDaBaTNwxYX9LYzKhnjhYctgy
6LkzAxDifhjvcZNNK9kRTQsEwcjhhCwWsaliChzwaHY86BH0fI30FoiJCWuKpZ8c+3FvkJ9A+FEZ
ofex7wyPqhqtD98xl8R/5M9tY7FDwRhPGCDkc5gGqzboaFwL5pzV4LKXB2Qyxj/YgyimU8XZL41n
6djPpFzv4y76YtNYrmBrYTWr+0cbyEcWY5yEQnOdKwCNVfPotPoj6mmZUvMjNg7Es+xsI991HSeE
24aYwLlQdXhsVdHsUdQAcMYBT5pEqovvMx44FOg5cjPA3GU9rD3HPi9VD8NfFi4IgtTAANsZMDS5
dCqux0MDg+zCdnhHY5IgrivPuUV6LQmg8VLlPFSDc10qmRo+Flb59DULFM9wPSCsDa4WOQvryMzu
UqZMW1++FQ2/IPLqlbH1e5D0j/WA88Xuj6R/MPIbfwJPh45FLObaDODuRTVo//57TNZ3YuAf6Zzs
nDFzh/qKCsMKs9dBj/EOeX/Uo+8RPk0ocbRNf836iiUpgSNtXnxVHiwwYKxfGdMiEcJnGnFQt2jz
+DwZvH3M5J3jJMU+gVFkmMZHsHtqVUMVXU2jvRZtgp1dpS+dzaWVtrcDmlT+XPo19/kV3MZeRkQ9
lPoOojuBctF47ghOZO9o8WZEyJmjiTW67z37I+eJ5SwmBAC7ZM5N9YjdguJ3jcDiOwzAA0Bukwc2
3x9ikkmcB3wX9gbbMHDfRMX8JKckZRHcvsMv2nEwRysopT0KcRR2w/PYtA8ZcRibVEDAL/HD5hFf
sEajQTnwLFHaEFOuEU4PyUfjxi/kUcFOVMVlbJHzSHMcuAD5Gy0bSs6ST2ISWMOzBWbRPRozkShF
NWBYRbCuSrXGz6lWXqUvAWNAIsnwkHkBngyrXuJSQakF3AqFvZAOQe3iw8DqHTbOlYM02rb852bE
F47rBVALEe7TBkejRJahfoZZSx6NzXMDayPQUQyPRddE+8GJcWg7PvdexjIiDw9sSCLUigDVPO9Q
FRp0BEObFWzNb8sVgz8RvxGQnsh1r8UANb4ka3ztdyZ4ECM7gTLU2xKl49b2gZyXjoRRAbLfrtqr
KWwSulxAFkHCoJ7wjqYHQFTDRUstA+5Cn45s7okxC6bg05Ax9jGqljVCKJQAZXIyYixGKeyikIXt
LlqeqJzg5LhpbzWgPFrJ/sgg10uehkq9NyHDudb/1dDY70SX7uOcRHRmtrQjtvdT4Wlsa1oXMxUP
dczdlGbcOQJTEXkE8aHyuYApNVkPRwO3vM2NVJYXp6XK7xSedUZcrFIl5gC29MxTc/6uiFDZIJpE
m4PTZmXCzd3pjGu/NMqXaAkFS9CwrXVZXUwPw1BChUc09iXMhytW+Q8iry9ZyluUmNmlb/D8ByZk
ZVo04Gj3fksKS82srpz2aQ5Ysg/BEgpolLaTQ0LNKX9NhPjVwkUNh/ZQmMY1w5+1acao3i5qK35o
qyxptpZna2aw2QqwLPOjlyeHG9LxqxP2z+/Eu4PSm413cHNcgQMFU6GHdV1JNk681o4BKiodVldT
meyYrDcAEoabcsjaXVWL2y6uluic+mXMq2o/JwWNwnSVI7diHuA8NMweiAHYqyEION6KctVxk6xa
y0Hl1vN5q7LfDUnxpesOyGDUuqumX1RaTultCpA0K92k6IB4pvjuDH1gyl+XqD/TbvB9qIzI4D65
44J5zLJIbIp5UzVmdMi9hm4otp7JD2T1Qrk2LKdUwz8CzRsSefGHo2AlDrqhsOmPELk+Sk03MyAI
X1k4in69SHgwoT3w1WPZmAeYliAGpvs+YgAkY4Z/LO7hi8cPtElox4Ip2vaOvLNhidVk/hiC7b8m
DFUfLRwIEr8Qia3lyqfIovhZAuYX+Yt5h4TxaCX1veMUZF/aay/iNO0gISQJYzlzdl90mT30qBoJ
K7s3ByFuS4uZLK76GvgJc9+g6JwtRvQnI+V0ECUeeSz85CDaKJbHUVzzAiFrH2WfSTpibcrfJhn+
yOO0PkQSR2Ac0F5ZLEscq3jLNRdQ27JPbPzmhiXwo+wxiUkBWcNwb2e3/xgq5NvBKMgLM65mAjg5
cHqENWSQJBbEfR6ZLATfRDA/wZPPN+MU46sNzl7Once64TJWcsGB8SwhzpejNN6pANOXw6e5G5a4
mhFkg8n9jkXltoVFOCbma5dwhPz6iIU+x0C+mvkAq3k/sCFnZ0tmXDqCjS7NelcELFACxNRGzJmv
1DnPw/sExc0ptQZUdh6VznKiu4Zvr3vBJdZOctV20tgnNUcEUmXBcLU/JyhuhqFFqhI6+uQn6VnN
d4XZwip01QFbK2RqSK15qevzBIn1twqm54WWsP3WM66CQBX1TW+WT2pZz9rTcJoFoSE9b0WM7o1t
1lPqI/X4NfjbmYnLJtDvvjDECSYgLn8kZDunLFlSYJoc1YKXLPyfJrFyvhd/BZKMyjLmpPWQ/YL4
WFWOugdSfw4TgsSjqPfXugbZJ1CYryUcWqqZ7Am4xRmr5FvA8OzCd/SHaC19ScppLuDdGALgZWUR
AG04q96JvpUOxD4bmdXeWiO8Le+8Ul4bPrNNXHfNOg2yw2AE2WMXWM9t5KDWi/CouY17dMvCvMgW
HSjlVLBHL1scDWBArBxQ+Wbe+N6j4ecQ8Wog+sMNg33w2zViQydJrvgdeuhAzHodEGtCQKHN8HlC
7vdXRZy8lndxEg9I96YXu6dm/HW4ZqJXXzeAA2kMA26zARgIkdn0bOgiDftUFfl3URnxJXDLu1Rd
YY/5N20G7j6CV6nYcEZDIzdeQu83j9VdKqrwqMgAcKKnWYQWb0RoHpQVE4jXTjex5d0iaiX7sGbV
GY3tvZURr+4X4ZFPesbdRsXpjs5Oin7a4x9tb3qfgeCUtB3tEod5QnnrEBkapsfIQ6nru8jyOkyC
e8PRKbVXKbdUmijR0k+ypgF55Vm6T2K9d6rumtTTI8TrVSzHu55pDJv1C3fcXudtt6uTYT+Y7g5G
2wXwuYATHvw0vHnbIH7YMVgp905i3ITldElUcV14SolHKnXUGnLbkB0IBmBH1dLjKwMLqRE+KQvW
nMxqyi3sEc1gIQcb24dW5ZdQTi2la8JW277OErq/LX/60TImvC1IbF/NNqQrsHiXicpmDDMOf2s9
OGjLdAtRzyTYEy7LXttEh9rdMnLz9ZOifjq6E4/4gPwb0FLtvc3AfsMmeWsZnr3Fx5E3Xw3d1Abh
YYxsG4NAHaILC2QcbqtpfMjqAKJzeJZ13G9YJqAaRuQwpBMgZGS/mxgJYoPSs+lkeqjnlxpL9G2B
VHvd6oGpf+lureEWpcqhQT7KkVX6u1pss7Yny0pP7aao1MGI7ReHxholgPi2+C+VhxM5JkJeg8sm
vhcwD9KVczeYPwcH+qpEjh+pO4ULGsMBi2QTV0dC4GyetqdQzhWxhQ/+oIONzML3tGXZDIvhpF34
+LD11VrUgMlgcbWBcZGsrtZYH5IdSTo3EERfzILOww14l+ZoN1fhC4mLCxd36bK7FzQMKEsXNgAI
OtgAuAeZxcBRMcLo5AciZwEMB9cW5u1MBOynN5YgIi10cX11zK34YWAzvoLWvIt6iKlExUi7UycS
cgaXRYqUxUB5Wl9mZzxPjZ/sgsZ4nohNoCUGCGXDYtal9YkPC/2D5Z97DkioyETRt9UWtoB9Zlrl
sHScT1ZVHFMeKZTYT54C8JGH/oPbR89DdHL9nnF281RWVgdYIxbIJl6HQIpVn7u7uiQapEPzPpHo
N3gIpguwvj5wvXXnGT/tKvswjPocRgvbIH/0vKVKagHDV3b4Jorl6tEA4/wS8AL5T7kz2DudN+sE
Lt5qwGRI14spqfWLlY66CI0jql7Z5BBV5vZojXBI7JJ827KjuLUiAu0rnglxB/SxjLIt4pF+gwv+
uQ/GJyW8B7uyjK3d6jv2vgiEACdZFSi8fCnLBmiYSHuOkQ4eXC3Af5LEJeOOGuuMqfq73eO55W5j
IIUtlF7K2eX1IDZ+QOqoExBZhjkMRIBrbax8IdNLxvClD09GhN86jKnD0rJqyMp54/6sE/IjcXPe
VqbJXtFmH1ujDvW9W/QtnWL4FinSIQX+Xbedzb0ASkyCOObhwzBsCUsMd3UXg7PzSRIARROsqDN9
geodG+TyGzUjPnh+ntiJzH1MR8Pbi9CbqOtow0I/hGXU828FwK7ovgkwIus6OPYR1Aba+lXCBCCG
/oRqv30wfB+C7/s46nnLQcKIoj5Ri8A+N+jwrWb6xKZNMRV3DcloywhDkTOHVmuTc84RMGnBRzMH
PshuD7Nq5G4Yzr1BDhBxGs0sP1URtlsy6L+75BQsZpaUtTvH3IYlcrPK8+xT6CNElmSN7+1sxoR3
wMiSM6J/Bg2rzC1PSAO6Bez+MtqQs3XGZWUlgY9Y4KUGzuiDh/dxKIps+qlGonAz0hZiUklQpH+y
7NnLXjxDE2lXU1N/j13jnXzKfeZ0R68A9RYzmlQwBDeVT8Npwt7umxCDjn9fUbrXiCXooBYfF69r
owkLGWt0WihmV9Za0KJQ0tYHlCwXJA73qsqWw945zCN01OrW8SHbiZDGvnSji2JD1Pqjvx9y+qNk
Ojjg9Df1gk6dBKjJaFyjSXbWdVcSKz19IVvCAyx7Epk7Z12k6Q3dcovZzGAXpVvyaJkNtNZI8hdZ
CqB92PrVmCgGkRznkKtQjjUCvG66TSNCH/lIQMzWeBIIcCE4yTpyv1yz0koP1AEPZBXxcF9g66wJ
qvrshmh4HCvgWanmrZ3lGLWZN/GYCNqWkUR1SLz8UDTDQ0CWEt4CLtCpOrKkvq9Jexmd9j6uSBnX
8fe46r6J0AD0dSgBYLchloYmpBjsVHyVhMy6XD6qsE9tkSdsyF0awk6scYW8DfGAiyhImYZN2YeP
NLKQPNqzcfzoQlbVXs2EQ/HY7T7YHazAiHM3tbjR7XjfchOvGyciIHXuGb456jCAC4CLnN0ShBpv
GhSXjDRIHfHmOMX2nL27NBI47f8XR+e13DiSBdEvQgRQ8K8EvRMpiXIvCLW6BW8LpoCvn4N52I6d
2I3pbgpE3cqbeTIJnLH6hxsv2fohM9jiM1Szz4034c7vyYx+Dwp9pZXuMoVA4NUpvnh3AcH5z96s
Q3EFaANb38VYDd/WttW2+t+r5npUVzj1u1l/smxItpmwAXOW0U9a5uS+LRrWDAAXEpiqA3EMxXNL
aT1peIHKlFCR1Lj2UVG4ww+Qn3Vj+9QiD9ZP3/JmcpS8Jn6+rofMP5q1o68FYQ7enfNBSppBAE5z
QsYrtLxN7XoX5eAxS7p7amg2yUftTvbiy/+ZQrofrXnX4Wi3w/6nfzZI0q5h+iC9lZQWJBn2Q1pk
JKZ8ip9KbnsjbDLiOVe/K2+hQVmP5w8U0Fn3xr5W5UMvW+rqTDMAQ4ilI/I4bJu1azTY9xzeO7aG
O5Hz96PPs7sZz+RqXPMrmatdWc5ADSjxUEp8C0lZZkkKYHLpUwsruXcnaq1ibGxpISjI60gS4K7F
ZeTfm4HmIX1o4YaE9wH3CmFM4pfmlHzkSGO7sKXfsNP197T6CEOgFiPKgsYGiTXmZRAQ9DhDNvjq
kmDyYHNaY/iPAAYHg19zcZZUMdLxdKieo8q8QPrPGaBgrESZ+5W0CWTB0n/1cDSdx4oTK530PWwk
nUMwnj1t60h+x44u9oml9G4mkn2CV4iDg6F5oOd3pWnqjtuF3EaWX51E3/gqf8WDZd1ph1n19qht
sdjUO9RReChmuKMVNl6HMN5ytFHYGnzLRo8TU42KYF1q1CuCXxavOcCSXH7t9AuAjUUWW67pGNux
wqKCKNVBVsVxtclV/oj7WxpbyVaDErTJZhoo8fM0XEYov6Tlm0reCVCHoXu/bqZfgAow+9bej9Ai
9daVqVo5vOY3HsrjagBtTCwX8lNq2QDysvjSaGRZqzz6gmdpb1Iuy4Um5rNQFVgXiwVxGKW0fHrT
2urhUeXhHJ6gQpxtt4czPcIjke7iyqTvKCqpQKy9RzNSVK7H/T6HVhNQZz0emsrjDU9CZO+B7Zsa
TDOF1QY2JFguEugKQL226TTxG+iJDvUq8l790P2KdLnIkKVLJg6nMJdoc0Ujo77vFUXPmML20iQm
qXdX7ZoNGt4affibjK3Ypq4Xbubyya3761AUcdCngmdDwu9KuOhyESwAfFNYw3uYi2qZ/PBzRNnM
3/WwRyu2IaRpRYppFiafH4m/kq3HaE3Y+wYKJvh0MhyAlSU3rUlOGfJFUFRwwVxTb3a9KS75eDKG
EHh/KDf07G6rqnuIqG2PriIOCBEDY9pYLCP0ru2Xsg3pAErksjDN6hk+47DyfJ32v9RlznWf/x8I
5m6AetLrR56bX2dOmGBbtg7oViwMih4Vxt7SeASS2B7I08juLICiE+O2D36sP5v+vB+LONqE+D+B
eiFjQMPEiWc+l5n9ZbD62kfYnDvuzTFNFCVR7g1+qCFQyPytgal0uftpRvXZO90HIBsyJ0ZHsXR2
Ht32Q3jdg+4g/NkJOGLaU5TPC0kqBNkwBOrWd1WzsbqI0xWCqu2y7yxJuG4EBwh66Qt08kdNCHHi
uDyokhDkVPfPo7KATRN2VkQ5N5MDXiUutT2jZqPgskHLEjvyVM7oXFgAssig73w2rd/QdaMTkvfZ
4euwZVmSBX1G0e4UvToZ04ybPMeRxFhSJ+UaNzlge0CsXYskHf9hmb6l3klbla2pwU5E+8LNkFH1
kL6MOXofnmlQzGn5iWvtb0i1QTB3pGvdpLw01WkQOiw9JsJ9uVBHyhYjHavLbwhpD0NAHwFOcUCD
jrY+jS5TCxvcVlG6qXgcpfel7Cc8gEHFZ09oP943VveYZ1/fJWUNfUisTTXWgaZ5DByWfQgLesG9
rP2XtHzhDIRWrKkMaLLj712lTlCj7W1bfaKJJYMOPbfUNCkOOsKYKuf9OzrcODzvxU/GpwWLIgn9
QHqhZoDgog66kytbn9CQTC8o9TBmcQATEYSz9mwKOshNL7z1KX2KUc5ExR64D6W2Rr+4xbE3wsNi
OuLL8UPRqfFcMkJNtN2DoK21bVf0R2VLLqVJ+14Y/1ta+Ru2v/SbbXWpETv2/mQNGf2o4VvduBDM
HM/6Y6GYBBY9QYNLsDvBdCck8xxxYu41uKw98T4XCrAANKFANMVV0DA9e4Pamjr6KkHWj54J4NCM
AgqgtR2hzAQu8j7YrGUGVULfRoWhkEbD9zY1IUMn/OuclLJb+OGrqHO8NT81VEHjzM/xZg7Uwphk
OU6YCZpAIz5BnjgMgKYuEjpHLCz0fBctRHH/I3/xhR+d+IZiZcwfHLx/4GsoeIy8Aj2x7A8qxz5E
Y7uJc53yo463d44UiyykX4paPfSmxiCVMzpkGf5GYXHfYRRsLdXvG/LTu1S0Ozt9rdzR+hj0mTPW
oDMtFMM2kzltofigDaiPXpUSp/Sjt7o0Xnyf5G3s9Gt6cjZpOKBENjlNeBGYXtt6HaUltq749f3h
UbuaWnU1ir2yI3og6mTT9M5vahndyix9d21k5RdQCBsVIN+4BYtRIub06OYcGOGqZe224ebJck6C
N0qnEu2UKrp2MTBOROs4nHq1r4+i5AviZ7pLqZGtb4xZLoMGhNm5aoNsqm6DA4lyGnHDD0P7InL6
y2JkigS6UoD34ZjbE5pDSIckTtTdj8WQvOX6SlpXJ/Gujx9o89c+SYghhvARRv8yi5D4bYxGQrxi
5XeNudMb+WNVTI3KTQF98mpZZXV6mxEE+Bde5JSHG7/OpkuZNQHHD7Lx3LxjkbV3HmJSq9E2QBWO
0xhsvXrklLKlSIexfDMK+deRs1grXerbjLuI4VLYJmOKbLywDqQYzEBu05GG1Tof/tj/N9e1xRrZ
XNskrLxz2rgvRiauXZGkO0oZV1kjXjMfPW/R268RcboOUBkIF10DKOb/JQ1Fd4jz6ozDto55jzlx
9q7F0wQopTQQYZfg/72PmcCzslVnhFTer2bEQdrvCndwtsQ3WciFI/k/CDWeHH7LuuTHGBc8pj5W
XK+sHpbH0hqWw2ybwxaRYlpDgiCt3vHUtpnOPdlp3kvT/pl6EPGR6IOmL9+ietBW3Vg8cTBnG5ZY
t2zgZhm7NrNtz8ldO4Impra4DMvRl2rJirTAjxfTkUUPC/11d0NwpXARtJj+IKSR+2U0Y8PTkT3X
h9cOADy68vwsSwRDB4uLMbXz3kWYD/SZrCUeql1EzevyZ7TaCuEoJsroD9arbUPUmt12U8b2WzfY
6zL1DPzUBitI7exqFguEU1ew2jdD+WVb9l+GqT5Q2fAWGtMb105vKMCxph70SuFRYmyl3wZEVoO4
6lIQzTRvP5ErONLACRGz2BQNb8m54uUC9k3umhlWoTqABaXUxk0+PK1ZZwgAc4NBk3KDQx+XcNxQ
Pax6ptMo8H1U86bnEjNb3+BTX8mE8jGI+UFaik4JjYLO3IIDH6r1QM6TzCiLTZebJg/FbfLrrzGh
4cTr352IR7sknznNzk5J/TjN2o74sB64jvsREmHoTDYB1QSY2hTnuBEgDU1KVlP/bzz2W7dnr2+n
HPpzRBrLb7lg1orklyTgnGvWI6/QAGXNXK0k1vimbD70DnO4icPTnhDVS82jbg3/upy+inz84rDF
34CdAwA6CybhcfcEBFCE/SV1y60if4Oj4KmkpK8ZyPPA0wdsgyYj0sTYJfLa+rjluMZZm0KTJ1Xq
nPIYNtY9yP5VvTQt9vVL5mj2SqsxV4IcaQn7jfw1OrIuoc3UxojWpNgWKCniFsYi0hX6uF+Mf5Ft
UwwODiJorHskaduG5MRVNJm+9eiplmEbTIjkjWYdtPQ84BFYDY3N4rb4HfhIDkZJgjfDl8s0512a
LEQtSnIsVYOJclUQ6zHy+MdJBa4H2HhR2Tu0lTWXkDMA6XwCytzNW9h4Ew8G28tYLx+2zvtTqjIl
x1D8cyiwoB6i3xCHtKhlY5/ZUaOA0E2BEhuYpXm9/0tP1NG1monhCC7QTLAbBh1Ux0IZwKRySq7M
AJzouU1Z0lRwCPWa6SobjGejdK9OzBFOxY/qxb3G45+yx7O7FKpNemeZAxBHb79kBa/dbY2VvlRM
qCS8xzWCrHXtJpu+hVfCPu8sg4ZtRGUrvykP/xgykgp1lH0Gr07ABNHhyxcX0kjGvmddugkz/C44
Tlay4wsSDhOc0vJPPCCRxzh//HR+RyF8jMxMl9EnacHP2x4zvtLVWgzWPZOdeunVJyRpylUHeXMm
JHDbRjXNwmLHFnBht2lXMwTCF2vDsTCetMZ3X1pkCKq+fgmPJeuM2rhZB8UVmpC2ivHoFjFGDYe7
If8JB31dRPbGsq0YtgqlIqjkhOMfpW5nvIMYtoV60YEEggN6MgCBJO2QB5qk2jizQay85SAWgqFF
/ZiY08NlodXSyVTqTrltyLKRM1A5kP2spdZ7hhhDQXQOnX5VUz6zohbBhnGM8ksSjRvpIw4jWq95
aFZR7TKHZjkrILmWc4fTQcuzLW/JaSf76mJa5Cq8vvnnjmD8vN6MyNa6AAbrgpjcfHWq9ir6gWUg
Ik/XcOzHLc1RDQlLL4e0IaboUHboSkvtrUDIWclYbrs0etVHuwMgMrw1qZucDU0ka0qObqbagTo9
tVm0GbPmR0ReeyBgVa1sNT4yfcRYA/LS8t29K6pDXXTnzAwTLnodzQi1gUXGLt8AM9+jEAvngofN
Oo+CLvy0fNKs2EvzV2uWR3OeXvD2/sPkZ/JiqL1Np0bU+vpRshshIpJ8U3SIVQNKWm7ElPMwOBgZ
O7teYftO/eILsrxFpi98Cyntqyr9JGz1krjpvKPbfa8Jv6VYFvoZ3QkYrsKtU9jVPqmPaeiQmaS5
c+LVFYZfc2shXdcxvuUE9HgCzjjq3afWEG95Cu1oyDlqstCkX+j/yImfUAZLyAoDBAp0xKshbCps
Qw0F3PE6K/nCm8C7Vi7DzKqqc2+V+cXA18TmedTkS4bGjfa67Arm51ywchCZdY7I4GGvcYNy8Kz1
yNZ2DZRka3XxVRDXWpsufcxpiTfD6HG78cRnnpasDc39LTPclYlZB9YEwqzV6ElKsRAIOsMCVeAi
S60W4K7XPy8ANGQY2mEb/uyjs66MRhKi5KEd7APXGHeD4f2j0KLnwqneXZu663EEfp3kkDLCyUEP
XQKf2nzy05g6scjV0CsnSqhcqDC6PLPd0q9IniecJlxPsmpTQHa7/bYkrVdcFHEFVBvsodPKbcFZ
66h/KQv1dRtyiME1x7tDOVrr8rgjQ+KaqAHzjUXLzs7JcAQVFpcof/jwWSavYvtMJe3ftnCzk2t+
d5baUY9wd/sSCg/mnsaAFsJ7UjRw8d1i2BRuoRCyVbKmCIfIGFluvyO1N1g9hWkzDc22FKiPyDYW
qi1BhF9gu7t6Km6dimk4tCiFtQFElM2FkCukZTPotLVennqcLIE3t1BE1dyuaPnhzC8wz3ADQaL9
1We6Eh0proxeO42uyRUHLCn0Ob7YBYw4AHBBm7I5cj9sf9i0Pk7UUWfPWtfHqTvOefFF00u1yaLq
O9HJMBuq2Ug9BSwip1uvG8911FJdy14z0YZTis490jtFI0AM7GSZDXkbk7k32B5P6HFhSxFvFJcv
ta1tx7Ck5qQhziVKQcdwrV7mafyeeo10YoWTJKy7W11AsBDmex/5u2LmUDG7gWvpUG48w3iaoZcV
uZygdTg3hcSzQm9ciXAxBI36hjx7HIghTNhHsHShirfFrH0cY3xmdmZgfrNpL+oSIOG45YLS85nH
6NeIa0SxfMwPBXrkCfPWX3ds+exiqkqGOnpuixES/qD5Wy3/RMhiSykvqWl/ZxSGg4UxykPHpttI
MvuUO+W/qC5P3FK/Q6++VKm/Nugn0ARHrusw5HvJZxf7B9VQNT6dXL1mz2yXu1wn69oXFda2Hf4I
QERd906OmhI/JBCj0K6zbn27DNpWetNjvTvpcfereB8GnSp/evOPh6i99loTQ3RMqLkfjI0aLS59
ekKBDndp39dcCgiK78naywqWY226q2YoqEeqKRzTjR03Rmuj3aeWi3E11rtqhgOUZu7nZLjUV4Kk
Wc+009LjmR/GnM44jozvPGV89PSFluYodJq7Y03OkWJRdEs258yOYy+3crYCuxXRq2goqCJaeEtY
rq6GDNEwFYoHAmuHziIVW+FWzQ41if5bVgx/tA6iAR/jCZQCJKDQvvEWI1lsWm8AE4wDUfSjKbhf
p1FPS/kUbhyzec+nIdxXPnSkvP4U3cgTG0nip3ydYH2tchlSGOKbAKYsDQDRkjHyIKILYMCCQh6Q
tz5XyGEThfmDwAtkwUg9DD/h/9cqiibHu5Fqp7mzmtc+WXg7fnFttS3oCeNU8uqtGvOBf8cPLAnW
fiBn7dbpccqb7IBt7AWUPmK5xdcVU8o5QS1cWd2kH7X5nbjgYogOquKmhzLfpkOVnJ1J+bjQXGPt
2c0mYbnT12rcxfToBYnKr6k0/zWF/k+xuQwNPM1liYppHESxiSfMhJnv4VuF271tOqCAUpuxMTiL
gyKsdhpdfLI1+ntTpc8GL4sGKB5aDOqHI7dm7t647X2oId3ibPePWlkdi7B6Q7tmcatFQVXDnDK6
5jmMASHESCxzA+YrZrIJx5CTlWse3kQ+n+kjXwBdSNXvccfNwp/BzScBVcccEJAaNmaVXTNu3lXb
hmuMmpceIYcGx1iNXNv9v13/ry589woQmeSw/9w48tyOZFjT8qXKmeIzGstjG9A/gCR3NfjhZbAt
tDP2pUNnKIjwbDL65KSFJVyBCb5+ObwmDc/IAByEQ/DgWrYL1oO+vrif2Ba4feAmuHCz0vz2AOOt
cXIx38YI97rz1/NNdCxewvBWTdQLP93nMbARKe2nVNLaQBaAf0Ctr6RQG9WIBBvQtk28fvmCBHY/
ZW+hynFFO262L2iU5Nr+wdRfv6DAJ1PrH+hEWGRA/YC6RFLb0+wDrUZbvCRPSDLFKU/o/+Zlpe90
SkWtrNOe48pOXlwj3ccWV+Mc//s+dLgzsfKGtCdcNt45e7SYjyznL3eMqPOhje8x575x9sjuk/Qq
R4wMgsqc5ReVu8WhCmGT95Z/8arev6SiP1alNp1SGuKJHSaHtqa+fhgFxUrZeGJwG0/E4OeNbycc
7CO+tsgzorVGdu1Voac+sWG7+GlmLSbBjTZZt4xjcdvUoNdKjESnwrHfwTi2u7So5nNsVQrDVp0E
aV6hGJrxXc/BiWXYpD2lsbOi9l0Kf2s5Cbl3Qes8aITrJOE0YlL464R33wq/OtGVRwdklt1m90j3
udn8X1zDTUiPMbEMLAuKlKB5F8rzHBsIrdkAeo420KAeydUDdZtdqrfaiV2pnnWwKGwzmKwImgBH
yKaK+uRcwIWcGJoOsUFPn9W4m5AfA1IrFdcaAigSubVJ+Dp55asveTvzMXxSfwF/nRryOVH1OgIj
jA++fI/1G+UizI+2ZwLlmtYaXMwllfCtDFZb02AsTADnWxU4g/DjwvisadDlbXURaeo+WYP93OFM
jMruauifccO7FvSCS60NGbO24r0zQEbJUNx0LMdByy2fZQJHY6UjX1Hm+WUx6CYxBzIGfXfjAOFs
6TA8F6GzdYveWTc5Zdl6TY92Pr/Y+EngmovnEc4uf84wOxkJiRtSB9FKTR2Zdj8881LmRk2YlEsa
UmdBtROz9xTAo2hRiVg70ki9rKz8ByRE49zaZXfIB436WjwlwhrfxgYMVyLYVOuROzDu07tpOdxm
RGFjLJ3kkykFrLu8WbdZTsHXDHh47tXWAX8RSFsHxt/jTo8BjilfT6h++rQUbjPB/FRW6OSksf2N
CuWhJZEU1PYBbRMMmd2cB3Oej/aiuVHiSqt0gQqq0EYWg5cfppvSdrWNnMNi6+JludVglgVV4HkK
o9QdoURi1fMbTgEaVyggBs4ns/kliREiBWiWib85mfJihzNmn9HJwxVfvciRxqSihLIsD4NgupCQ
StEPx4M1gxRW1Oywv0snpa3tkXhKKep7m08cvH2xLzToIi0Bw1U+U19Zsu2iiedB0gydx8mADY70
iTuSHqyx6TeaLkPuGum2HRVXH9P3gojXFpKXtLchy+sVnzTGKGoZkHn2yMAoPApDDnHRFJeQzijW
wyCeE20Du29NC7mBlvUvZIO0K5ZdpEj6u6/GgkcFRF9UDkTLeCtxRmbrwQJEqTfxjx03xWXpDu/6
KTm4gqtE0lrppu1oImOfu5/NqNol1fin7YEGzOKhG9lzyl5g59oofnBtlld2fjJKBx1PRgwA1p8U
nGFqW0TbdIEeEg4OJ3Z6J+8ROJiC8SV9WaON+HfPNJ/4SXaOtYiXHz7G0Gqfub8w4FrFGjYbPnBK
eKxBXEMLGnExXqE3a1tjfuIqXm1aCsAxTvGe1Q8IrjiGLNruhkQ/oySd89HipiJnOJt+C7BPGodZ
/cSKhVlT806RpDoyN3vJaajDkm2WgZUxkNbzs6CzM2Bph90P0oi0pxv7+41lJXi6xieYGpLpoDza
Xn6T7szaRgxU3FW84DQT9hAq7MgbCQ6FJdXOsaNTp3z3DMtp6WVD6hFJ+qtaUg2h2cIh9MiClr+8
MZODx0eb4uuzXehVSscjJt9MxXestMy3eagvvhfqt51wUVejwXnjvb4roW0GzuTSZUhAkmN0Myb4
HOPYancIQE+uNrznTaw2lFock8a5tqP3ZsVMgQYIWo5jrJJwbElxK2xoXPc3be0tme4ve+5o1FD6
ticAhqTyW2SF3JIgtCm3QcEYJbYL5ecHFuj4dyuaVqdpiZn2e+rjz7gh2WdkXr51aSWEFBP+FmP8
u0zQY85NEcN1tEttTF0hjXb5lDK19+UOlsUGh5Z2rSrxMWPmBzw27QfsGmRE2ROx07cwdqVP9mIv
6oVxAGfWnPBbk/iM6zXPtAE16JiN+YMUijoX6O1VliUP28zRuaGzU7UJHNh/z9hdKhPAbURVBpBy
jVJ52CR6SxK1U0CTJ9Mj5PPPA0SzsiVWcn/+aCV7kVYyNDoOhXg4kp6IEYfH0DSfRZcA0yB+Sn/M
hz6If76F3GJKTK0igrFumvDAQqCaUwXIDxYzJx2Kccf6c2hAzxr+eK4rde/oKmQX6c23As/rTaTZ
T4c38Pj/P3l4qAKtn81g+H+mqzB/95ZNwA/r8S41NZ7R2v2YSOsdM0JJdyNvAJXE40QPMt+y2ccE
XblTeo40rg+rUmJl6nzvCIonvoBBG6Ghr0OK856cRdIUxLh/gG23lj4cDT/vtrXk2iN1XWFdc6Id
SRzrOGR2eyGc8Ui69Et6TDsISmWOx/1fqXdvY1/ofyO3Y0zTm2de/c2iq2kbqAI4oQ0MvHL5xWiu
ehXm576Jrgwi7j7XGPjM2n9YFcpjPdN+uvwSCWqwMlme6hZcV6/l5hGgU0K8gkXXHNenBJpnXVF/
GnoZuxn1Mlodkac2c3DpQiaOBPWFYJbZqGneNkXTCcoCg1zlFXSPLyppm+foLRPDRWLzUjEvVpG8
6aV7qjC5Gs7fyrfKi8SXn7clwhv7KtmLgytjIxgrWMM51LKNNLx/s5v+qbzumJXN1WWnfAPcglMx
ohaFhNfaM6ydlrBYTRJWMPk1xkFie3T4+MXiNAU+NsHdXoMz/2omTAgOUBIdBxZoHNYMCuJsmeG9
SRCsr3Nu9Kyd43vUsFGhOGfYea6TP/SBChfLLjUGSrZhaYvqzmSTMW/N8a1vPHoBvPqjckR6QjMK
4eiL+lnaEP8Mreu/05TuprZJrrQRvKsLnUYXdxkfjQdZt5eZRh5/QNt0aOxQk/vWUZez9ur+hpFq
n2rWiwhxitQL2XNu6kcnrXsMYvyQxWpH++EeSvImtlUw+uYJF422iiO8D1VeIuGoPpjn4ssz0hPn
4IiV03yL0fiCWjeBy5eyWHORYDE/Y2oQm1YUGGLYd9VTt8PMxuWBD5PXBAjtqwyxffEnXvkKg6jJ
a8G+LreFhEcvkH51xB/FMlPohzTO2UYSY1pqPXG+Et6mjvjUeBsjy14qYfD5M3KWPaKCEsWz42G0
GrkK+7X5kaQJoKLYxcwzXE3N+VV4lk2+EBkev31p4vSwYSv3RqRd5tAFuqFZ9PCxfkiH8mmGBht4
w1DfatoOg3RIf4Z2qRwlYNQclt45HzLHyCJdI1sNO1wL7KL+NDM8EHIwqVJf5u5+YpEHPfwVZ4l2
bRLpHFgx53mvk+nCAiUpnqrHihtGBWS2aN8kxvgPrcxqiEl1exRsCz3oyrUAiD9MlgYpjlVibt0h
UniYtzBJFgaVurVzxABnU57W/sDUsdfMvHiyltJrGlQQeHCKz/O9Sj32KS5xmIJHbpPrUbexMZ8b
vgdx2mAzLscbP9YnR2IVYTd+ZsH30s/C30tL3ZXisW0ZCbh8Ku1kAtslg/sZV+bP2POm7lqpX42h
ZUM+MXBwhwAWW81PJ+x+am1r1kdvqe8GrjdOZ614SdnnnbUOHbHyPpnyvO+U/wKYD2gaXUC7mHc2
Te14xtXo+NiXbIDaE3uPvHvELnbp3Bu4zkRn1ix8i8IRX3YdBR1Ft2t91Pe1NbncUcwg9chN+73u
L/UX3X0C1bKd2ccwB9XqNE2S59L5Tggq8l30jAcZJiI4KCS2jsMMxsRqoiz5HpHGX0uPjcI86rtQ
n8g1ssrq22qbk65YtwVe+UZ0iqMTd45MsJuFLjdZ06+xR2rhN7e8oeEQmzfx4MVXsB/GJpIsRv25
vzOYokrYI3MlCm/N4QMkvj+GEE55WcBFcCUlfFXsr/s4vblJja4Joq4z5+4FmLmlu8m16mdGTZhJ
z5nrnoeimwLdAMw5zhjGxQw3Ts0k+2ZrNJDfGSQSerMunGinvDArvghcX3n3aOxACZcrKiLXYxHK
kx6NlGDM2rjO5so8xTGyK4Gd/tlJ7bOxoMYTLrUPZ3b0i53r/xxc+sdwdtKNlWufNteUa8rsSrJ5
5B7RTkfLbnlF9VTaoSGLsGVzAi0+aqIja+yK9G4RsihE7taLcLh4RTNcLL8hNt8fgPGHVvokG9os
pngXV8RW2en3x9bttoVr0XE28cohtOGtoVJhrTGyMKCkLwMpxWzuI2qt4I/lV73+NMrePLOxb44j
QSC/z4ezvZTGdnN+SiP/rgHnoxVJ3hss7oe8MJgPIhJolJFwGeDIYQaNyzD/bD2db0vRPtWwXTWr
y9Y5zTKBC4Dx3BnZpyIKB/Y/1jemzhZeYqdaR0OUwSZuMGuE87GzmIzCyj3h5BsYaazskP1D941x
ozYfUxFTTHkxPJoIJZFmrp34NAiDYlJq/d//y6AywWmkUbw+F9kn1u1vKzfzs5omJCmRgxoyxlud
wwMfaZXf0dPL7htyoRHBd28jTu+JTpKuT6J1LPMW/jwLeLaH01F39BM9JphUyf5zc1T+yTRJEmmi
Ghg6eA3BZfKp9a3BiIs+3Vs9L1iZZNdm4onIXIqA8RJi7TQu1eITphC13Yl+IsJmvWkZC528Sfa+
GI9x0eensJOfXQdLRMEhrFi/XDTf2DuTIIYlH6OYjDWv5SZwl5JJpb7shgoSU+BlrcFthiFpO26D
K6RVHS99fZvbP0yhyLkTxq/YwYUKVdPv4Ch1nYNbvx5p88HH1jXpSzOUz0YBSbIWKRtG1id+Rhwg
iTkaLG42U3SnptlZNcZonxALVgMp8q9Rt357x3a2bTMyJzBODVcHb+kiDp9wo3yarnNgExatdD68
uJi2lmQxLmABB6NLcFVGv7GT70n7cJYBPvAkN2p2HJ917bxCDbp2abZegIurAQcacq2jDlnLyNLL
5i+o0Qj2YvUXYTDTkJjox6M3223PWAvKIEvWtI/OgUhstA2jWvzATGypz0GbNKxpPZMnJC+ZG7Cm
5ZSeKoPdl94NV9n5Dypj6m2DCXnMSLFoFBnT9AE8wJOkeWoA4a2Ibw0OVcCY6SolxzHb1hNtkZ8D
Eb3ITH6t2ryP3biqW+crzjFf+JP76hBW8V31bFYhmfXkzxyH323LTpHNVr1qDXwBnfxjWBc/7J9S
EMmr0ud/lfX4ZzarezxXXwv2QmvRrmRxDtuBz4Zt/aprusMMXbwa6RQ0mw9vSqEqCjfD8xK+UkE8
EjFdDX0m1zEewZXlTHeuMx5lyHw/Dzq9MWyv1/ZS9Wnn9IFl+ZKu562EOx2b7rpIprPVhNCbDc1a
pRopAVM4yCtj9+GNIzQ8nhox4z1X/aof21ePDc2MG7K2IPEYU3Ik/LLPSGghGblsY3BFN31Hb2bU
BWApub5W1HT4PlTMmvMiTMAoNMgQGpbYmKsBhdzTOhKOF5hkHQYmoBsUQ8i4pDt7guRwRnEnEMxc
ab69pSyKtqiRhIH/4lZdzlKPZazMrAUz4L1Qh1ccpsbicTOIhJX2HbbE1bNhayodVa4uKdOA+GBE
I0lwJ3o1WgC8YUu76uAdxaw9eWIxcUKh0bmjAu75sljxkxuZqYhRNC9XS20nx1vEta7bFckzpJiz
pbnGoZ3TmIG7FxTBjPG9a/1gSKALNKUz4S/rcu7BwgZkVj1ApBQ3pCSKRJaDk7vgf+ydyXLcTJal
X6Wt1oU0hzvGRfWCjHlgBMngIG1gEiViHh3z09cH/lmdmX9nZVuvuzc0kZQoBgJw93vvOd9hivJA
F+tqaIUqIuqMVRDM9QZgxmcjaO7D/XiSSc2JzDU4pCY/nB5NgazEciqAhZmTO7/n5INtZ0dZOi9l
qHe0owk5P3fJHIXhxnSG9lYM826O2kfOlK8dDw1xUkzPA5szcmFlOyq7lGTfsV2FdKWoCpOKviqs
gwbN6dkaRnxXRB9zVOUpFIQNMZhLc4YT5G2N75R/91B8uh9WqB5r8pLyPPX3xBTxusb80LrPNTPY
w6wq4MVpyu/tIpRbuyGKR/wHBrRX4rBjWJ3YYLjRkY0keeidRTcSBUN85+9aE/kzU1MrRS+AVHE5
Qj6yIWHfoQC8ugiVrBYTdFS6L7WBF8RzvfVkWS/diIKo7aPuIPCwXBneXQcDpH6FL2fVFu0TEc3b
VonNAvVcEx9t032Zxmt04L3aCDwaJT1QkhKwEPd7W7XPepxvFr24FcKtD18hyjHrl17juiBfgHs0
ex41eRuQM9czOzniG+PGelYy0Qlf1Vf+RybQu4O+XuUdXre2vHOF8elXFHt0Cn50Ij9GWP7ior4m
db936/kDtupWoRiFNJZ+iorwLKw8W91gLxdEzLXMy+rOO7YMaM+uE148esq7ziwfvLqJHgr021EM
naQLXA6h9IyO5jcGupz9x15telCx5zQt1loyBopsy6N5zi88N057Gvudm7YXA9rOS9YmyXYqGBPG
Kf84iRbH6JKayHrDQQX1J2QFEVxIx7mrqTK2XcilRnD0DrM9hZUs7zA++IcZ7OEOdMrJN0Rz8LI8
3hcjzSer9s8us92Auo2qyRNH26b6cCv5PGVC7Gkj/qijhlBeP1+HIwEsAEPasR3OfZjdTMK0GNSO
iAVKVZ0sYpsPo1UTsTBmv5KwoPRk5Aa94GeVOkzCLHubNLXkuVmmdCjqSKBeRTUVuimG8VSjaJMl
wiCteJeijhTjaGmLdn76xEvdiGA5tOFZ3NfNcKFPXN4s4AG2HyeXpH8SnhMcXE2cUzTBsad1ZR/9
di43ngqRjBEO50xR/moG8kM0/jEPwurFRqEH33/iKUU8Uqc2/q2YoC8Op2svvhCzkn8XUFZW5FXl
+2rMN2OSZsveTDRbk80QsMNrpUR8SMLIPM3TdJihyrNkjfY2tinzJvysJ0S+PYP4i6+cI2lO73QZ
+l3YQneuspKr51OT9NPM0ooibsFRcqaH83yHH4WeA3oL2kOTOX6qROy7IKPHI1g80TGdTN2tc8JA
k05CGjRgOS9DTMghGYSO1lYOT6ms1y6RF4NowGNEXrjjF0bv1HByEBlZakMC2n2ymt0I3ez7bMUE
kc04RN0Z351L9GirdkDQPpBIjK+Egz/WjfNBT3La+Vn2FjIWIsGFOLtEm48ji/VR+cbnaLU/isYd
z+OozU04289U84iSZJ49jJH47VpUJ60sGW/1vkK6LxbHM55vCMAU4Wa+ArO+wh7n3SbXlFvLqbZm
HVlsJn189nP31ejt6CGcHsZFYmNWzoX6j10uKUf0BFnywGazy4YyI2pbQJtbzsdgegbkhDlCM2E4
IBto2ItUHUnfiY8k1h67ureugrt97UL5Xnuti1E8zk59Z6d/fCioAZiNG8OddEmtRj/10SDOf3OS
jDRWxt/Ya21InbjtWyQw6z4vs2cZM4erqmNbdxM8vVuap9GVqOoITj/PRz2dHO7RHSauaN0FAftE
6uY3v2X4C6QoXjWKY2OVahTiQdGeU41tt3TazTg0v2TqpIcmfrCNAFtVrX9HRIJhuqFRgy9HYala
ZTRnuwYYO+O6W2EtU6NRHZqG9LWimccNXJf2IW3DHzW3vNeH98pSSLGBOZA7bN6bXvCik2SdaRwD
WiGDoHuJqK1jcfTVdtDGG/ijOBHfhE8oArGD35C1feCzLAaaO6oV/qa3NVIUzpc5+QnpELUbHQXJ
3ZKMh++5a7K1kDwOYl4h8DJ/I5JZZgJHNvhF+aum33mv3KOKw4BrQ1JuBocC777qr36S6L3AFGdF
ojllkfdoKE1Z1UXONqXdQO9ZX6XvI4BJ/KfAADE8hfJteaBpXY+vnXaQTXp6O5B4frbdvN4OPadj
Uo8iEXxzvPBx9rFlZkzl1r5ZwXows/hsseDl+KK7yPBOxIqg6RMZSnsILZGX09EAdOHL0VynBTt7
gckHskF+P4a4xZ1En8cZX542kw9RMBfU8E55bImfYk/xFWLcQVRXs0SWG+VwYB1sRwo5Jj1tSDld
EWLANADJMp08GagxaYFnH7ZMn30KgKKB99da6co2cTByjH4h7zLeGkH90Vdeujd5G+E8aoD3Jhkf
jsMUs/UOmqk9Z+yu34BxsO9jrey9lx6UQfj7YxQ/caYipG40UXUFrn2UhkM+q6J5F/+Q0aeu52ez
aa7E+Wwrc3nxBR8i7W8QQVrYWaBWf3c0cm0PUcfLStA06PKQGHk1dfsSxbS75pQWXK0EwRtQ022d
00SLY0wOAjlAO0m5LZxfYYS6KZrfSkwsa09ojcNTHEML1bZ2sQFE9E+qzj5hbAiu7Jt5rZgj5ei4
2yg7xbKggXPTkNVoJSYP7mzvXJfKIXJA0A/ttQ4XlNW0wCh+lA0ziXZRysdoj8OZ6LIw4CE3ZX31
BjrUIAgG3IrsfkW1DiJ3oc3crIrvCDPxdpb9znCZI0dhQ8FPP5MIfRniD5LM5KYrBw5gIy+iT3qf
tVzel7ZcTQ4nzhp3Gmsyc4Ewpo94cQvSMnnhwFVS4Hv8rK0I4WEjDNtV5tM0M1GoR48CT9g/n8S6
E/wq6QwVhL4w0CxiSlBaeAxDQ36oSNOtrsNdUzHPCQbAJ82EyJn4jWOV+T96DwTPaIbvesZ3NDTc
tHXtvucm7sZgFPcwXj7KWKH5nI9ZBoqidzuASCj+EoNUJ6vDpGqOxTMSpLVfd7/gjTF69+BKgKJw
dDYw2caHOTXBZxm618bMbsxcUDfl3+tBxegZIUJ0Jsdti+Iri9xdD7jhfma+xJFlldHDAuQXf0rN
kN91YKpgGy4wFLae/plUnLngbcHf9bHaOS29QuuxDahng4IRSyiYOMfs4pVL5VKxHjUtALiROJLa
y+9oCdAhnZxfOh+f7XKi+KSonpqaSEvTQGxbvg0mS9zkpuVdGEU/OCR2I99mEHwJDcPdiAg58ChZ
vXA43ffThMAie53l1GzGJt/SRUw3dk6dUUCButOyh/RXU8m0Mr+0EguBizY0YEKzBNrwUibSFfzo
VIaI6khHNai/+00e96898Fuz4sozcc+mKNn79Lkc/T1M5nEroRWgaq6u/bz8kwkass2pG18lp9a2
JVqt6wQiAmtjUcyEIPFb9tZ7k7Zx3xm/oy45EUK4QIsHmX/yzJww5wM0KyC6cP44/2sOp/Vn/q0r
6F7ZKAsA0UGEUn/CKaO8mGG8Wv62hHy3yqcK+jQAu5EDcOumpyp9sursMY7jDxhv+0kUP5Pga3zD
sBM+/v24ABRpaxR3uHzuJFHlcQLjLZ7cjK4VPUsAkMwm1IAwHqTySrfWtLCK12piremnl97hgQFq
/ZGTIs8bUj6OHAJWkNPWTLi9eycOL7rv4emB/fLDyvs/AI7df8IE9X1LCgEu2xS++ScmKKGVhkV9
4W9dRAc0CuMfXvacpdBJrGFF0s2hEMa3uQcWR+zIvggOXdU8gy7nkZYIRtBqcpLMWT6U+gCoR9Yw
J84KbXYn1+lIJgDd1O9xXh2sBQBHwnB2H3j2u8IpLgwI0WCif6W/k3jg0c/6t9wrD2U64OlABb7q
tG8iIoA/MuU3SW7KLq0xkC5mjUye8VsPKx94110vIZGfx/ZpCN3mcSbfaciBxTkGw5hBNffGr4K0
zIVu+DaTVnRGkyLMRWQYZjxGub9SKtvmRXbSTvKdgFFk4Vb8LRw5Z7gmNG1iZggPHHgD7O9DZT9H
1fz+r+/EhXz/ZyQsvA7Hc6WEWYhnle//HXU8lJHhmE7ub0dZfp9U8mGibYKW+fqdJE/WNSZXAIqz
7yQBfXrWyCwNLinEy3UAlnwl7P7tX/9C9v9O/V1yxwDqe3yEVLvQm//uF4oL8jDgCvjbRr9Hffxm
VofMaI+Tw7wmiegemKZDEDajfPB40FmtbmWkIfNicxKcP6xvg6aOcvsCBR031nIP6yj88G36Ap3B
kKzkMhtV9cpYiE7MuHPj/iOM6ZFlP2wNhtIMz6qxdgDPDpVu34qcCYdvum+eHHaDw0KLtxSXEc5y
WwQIJLLT1/LLuRHPAc8fhfie3/Yjq9BL1cn3uGCD9ZZnFfTNv75YX3ju8m/J8pYDIdwSPgkEdM4U
89F/vFh5oa2ZBwmasBcscZks37RtIZ+IpaU0opGoHdgf+a9SN8EW2y1GNw4pHkpzPJ712Ru7X7PL
Y9S47uXL1Rq4xneKOpza2ac2G41NznnDTQ7UxcGK4sc7p0GNIgkNWkVAjnKsvMzF+Qklrl9jgTiM
Gd+y689CqGlNQNgRW8i8Ew0zFxzoi+2rfHWSkP+c7W60g3d37G7BYq6pgCITvWqw8cENBT7Dy2j0
QSy4uKBC9e6WebX28r1vgwu36CBLXqmXQ1GaHBMEDEftf32FTfVP7kcBfFouC5WUpvcnVDmX1/Fi
f/S29Aqyu6AF2FqFOKknG7khgiakxu99ox1SlHltqq8EUjMH3GRpQz3peYAb+xx2esesG83GgnL3
OYMpOvm0pIrHsmDAq8hERsYwMySRK2eufqIMy6oSdBR998Q7tCGMgIaFzEybgkNUeVSlc8harktT
P2cVorVx4SlpJ33sVfYNCNi7kQ2XwTCWjZCbGy0Dbq7gdeZH3iE1OcYx5rZpQHKcRvXODwycaubQ
bHF82PWFeulglVspbLC9yn7qCZfE1KgOhvKxllTLGYkjjyzkEQ01jnQjYXLb8tVJ7ahXT1DBBbK+
0GfTRZDkxa9fW39lg5IFvHZQk/eG9Qpi2iYk7m1vwe4GyrVqDGefu84Su4oCS2ftc9aqPVJ1F/Qs
zjseMkdFb9ppH+Yk/QT99VnUyUcl8EAnHEBUrkkac6e9CBm11sYWmiKEHYeHWCbZJfOnzbLYttUi
JMEFWi+qjaEfd0gy/Dv0QHRwpXxxTZAm2c3yV9AvcQP2IAdrA5vV2D8OsXiD8MkyTjOXk5n4GHW9
3JYO9Zm0DpHgf1S84sTc/Ou78YuU/afnXViMMRhTSwsH+bKa/93iGOGb5trX3rYP1LgOfA0IFkBv
b4YfVAf3k4+iA5Ezav8FnKlFfBpafS2U8w4V69ficLp3RqxTQ2MdXPp22N+2sropV57nPKsOIEXO
6Cfj+7n8Sab6N0rspzTtSdXIy0fRtmsoajSXkEBSkfqV97M3jzC99R9P3RIGE/4ur3+8ItJg+Pyj
rKYmZrz+p0//5638fy/b0yRShv3uv4+mOf5ufmQ//j6V5q//5I9UGtf9iyLTQGDSULwPbKL/lUrj
WqRzAnwXDiEeNDNc7pyibNroP/7NlH9xhfeVALHsIL7NUe2vsTTeX7jLhOmTReGavisd5/8qload
mPvz7+9fl0ALtnXBuc8i/sH50+bud6gUU1CWaxW0DPcjGIhvuRqCc56CowtMqFE4l41zyZmE0ZBl
7lIzQ4fvZsB+2htxb9MhjhhOLZSx2NArb3RQuFEqI0TW7gKcq1bMgZAcOOqNBuXG80v8pHGBm0zn
5kHBqlQ0YHF00Df3IWoy7isOUugj+smk8gQyb0plMdI6J+LLxkDVlwQKt1AbJ+vSdwRrSW/lW/W8
Tth4tRc2G2U73mYo0o0XWv21BVsT4WGpF8QZkST3Qz0bxyrJ1oyQyxNN+ZBT/BlJrAXdsc1Aa9fx
i+Ot0fJ2tymcPkZ0Gxe1Mdz0Qk9SvzV2BNxLMZIoKUrryE5vScUIJOLwMdeI5dDCgCYRUbAaQxQC
csmnovTdEIRmbatlM8UZHT1pg/MmMOTHOdLygHmYhLk2rR6xSL2WYxk9RDDWSBWGcidl/lA2KQBC
UcLIGbOrHxN+nKu02vUECa6zfih2vYlc2zdaLpgsFOMaIQ6SpaHP+/7JsAQagzcLqexb1BRXRxAH
NlSy2Jf4YtCqNfVG2w0Zr2FdbkIv2BAdCRHVs7oHFaNLh/E2MrCu90MVpd8GCskszOSxtzCaEXis
7vwyUQcZ16cRwcd7TtoySKRRPfSZVC8d5b+v2vB9hN18DE3IhbOJKEfo8RiIYV34wjihC8beJK0X
OXQukDK5qEiLC1mcBY1s42hj5D/2AVNGRInHhBV5VS2xBQsUwSQXbMe83AGhknX0HL1X4c7mBXmm
dfZCkT51RX/ORVKsraWb3zp4qWQff/O9aIubOX8KVfBi6GjcUOhcRmGtqfvGofgWzTOZzhyQ10nc
brIKsYI3YaNCTX62m9rZtYIRULEkNCdQQISLXr7BeVFCDtp2XcdBK/qZ9m5wnxWc0sMRquqEsaur
Z/uQ4Uo/4Cw8e8nc7ADtz6daWoiQUx4No0uPZN/hZdBVsj7rthhvFGH6SUvKyUTHJ0RmGBO1R6ml
wjeLLj82A71W1djQHbUR8uL7f2Dq9s0Ou/qQjzwVgZquZcJkO42BWOuad5+kv/5NLVkn9eydliHO
Q2HN0z6qgmevCuoLOx2qwxIxp5WCuFBLedIrZDdjpu7srnU3E6ixdULIIHYr+ds1qzdhFd7dPArj
4Evu06zIHMB1CUw2I8Lcjl0wdqMUFYFQz2amnbWNEMAFqGc6o3vsjc7cDMQqYXrA/FsYdrX3Z988
lhYQ6QbYwtospDjPTVocioxckiLm5/eOtYcdqk4ScP+m0989Ix0vI2EV7KITZrCphRDpuiI6YsPB
69ysMi1uNbHlWz1GhBy2YGCx7DMXM5sJQlTfrFmnKUid9MxEoz+7ZssaxENI4w26B2TJl2Lu9SLt
epjmoX/0an7hvIY/FY3FRruh2ssoM7aimpBQJNNTAE9lUI63D1sPs3TLVev9eDy0adrtMUw+CidM
dgC7VQtlMwi8C7Kddq/J3Ow1vmAjiK1LCtzCwrlwMTqfHnuB5tGdeKQqCSa9FuCjGF6MK1xEGCll
GKyU6WL5a/pzbI7+Lg00ANqGlD2O70AJkHg2Zn3Kseq+SPivzwOezLSy3lFjhGdD5O2lJfkOjQ2K
PulOG9u21WNntCHmM3lS2idINgurrZcNz5EVjnTGRzaLFo0Nww+TCM6ifAwIJGHKdIoc6QJtX9b2
kC1lSop6C/OGEX+UYfMsLW/x44cbNUI3Em6RH/MIRFmC5pFDo7kReUY4gtkNkCOTd9rWN1eQelVG
oDMpHTgHutYtSPEw0IugfiIF4GGo5fqkvNI4g2f8ZXY4QHSTPnkxTlLVDpuqD+TJYFI1Fka/wjPP
xBsFBWEJFmJ+mCqbgeu9dgraduAm423C0g9Sanh3wH58s2nbBkmY3sy0M09VNrf3GdrbW6uN3YBi
E0kXqmEXcdbKnct0FVlGsbdStQ9T2e5rqMHx/GWUd/bYdoNLgD9rdkX2EtP47z/7kT8mCXuy74/p
JU+dU2GrbjXlNQtnh4m9NnpCbDw/gsPo7Eht6I9BDbErQdZk6wofG+ltrXUuecJo89zFQy9vJed4
uw3wcWMARO8RTw9tTC+PeGS4Jz516hjrBnLqMQwDVpKA9HgxWOfAm3Ywtz240jwlI/FSK3PK6U5H
Mesc3qG+U9XZjSjNUUENNZ4I9iN6aZhlBlOyWUVciKFWw0HV7KeDd5+EmfnLfK9LPN8eMk9auNUj
uejjvmomVOSwzC9FuYAF9LnlypzHdPpe5ObPWBDc2wF63pCXBWYsdxiWmd0m96cfrte2+2Dg8phj
OTxP3UQCXdWfnKRHju4GH8Zo/4wc3a5mAWSGrJ7HNkzUFW41EEk9AOLseJCzFKt70WKosNxXdjaP
uBuWlKTX1dowAAcgt8KYkE6vyey1J0jlzspX2l1PXu8cyPm2Anw8AkPVQXAqwztb48e3xC4xWwzN
3LwPUzYeWE75elIlv9UsQ3T1hbtLPIpBVWpdwTfd6GD24XBjD4yXD19/6jCI0WVdUuhiZCiU/k8l
Lcl7sKbDfoqYqLfoVy8uzVYTUuKuaKduQz8Rk1rhwYdjBCfJ3UFG4zn3ruFqIs0XskAbeRuZ9+Hd
0AXFjvDhYd0v85+s9vTGS+Jm66OZBP6bA68ugpC9OwHh0itY4gGACE2WNByLFrNFX4T3jj/v2e6z
h2BqsiXiw9+RwSXW45IIE8U6PBq8nEca9hh8wBVgTq/Qz8/NA4bzFmFn02/cBkFk6LnrvLS6XacF
kIS2v0sRuQ4GgL3YJigQTu18LHzjMQCFsdd5RyIFAg3Tmg/hYMh96KG4MZgzMEsB1jK06ISrpbld
i6Le12Pf7sYygO6iu+TI1Jr0hqqfT8ZUvoDsVgcnsj6NqRtwqrvBxse8vlYDZnlUU+Evvw+JlJ+u
iVF+h8bd7SYkiQwSFdN1TOAQreCMoneoHwy33nmq1UcYwaucKHJkr9HityvFib75FalPCKLG1+jy
3PASFibgEgaTuNzk2jGc8Tyzhd0Bzorv/cwejhxRwDVx5DwZhFECy/SvAQLDFwEJEn5rP2wJZHiV
btNsZ4X5SiYcli2RgPtKKux9wJZXIod+as6BzQWEa+TleMY8PwU6oeLyNrtTf/K1A8rDBH0dTTkj
QwchPwhmLihdCNN50HPZPQQjVmkwKyCsg27DUc5/pBtD2IDbqmP2mBPpctND7t/K2jmmcMjIDeCQ
p2X+QnQ82/2TX+qPKKq6SyS8bVBl1b2dKDAPxJDnflXcIrYruLm6PTaDn9+gjsYbYdZIdVu33YE7
IBo4leJiwGUNrZoRjB1DZZbsNzQ5suAJdVLzqNn8+noMnr6+lKUiXXNjMtZZ/gbcTDbVYnA25iQ5
2SW+s7Klx+M4h94qncQ+gjp0l+WwI9AoNau5pOeh6uwn+rurW+tq5Ti+s69mMa07r2B+qofxGloE
M5W0B14MmxNEG0AVk2lfXufpUGPcX0deqvdmHwY7s2as5spo58y5vGdv5rQ1JjDvGtvDU9SZL66N
h8PEUL4lvpaAIsv5Rtj8s8rkN01E0/brv6AiOQ11lK8grh5jVMOHeXD5y5G4tpmFdUiPzZpu+bqp
xYrh5w47HOIcjBr08y0yQLxOvNV+AbUPLmP5WjLIicKDGr6Zon5Oq+nqKeAnXvRMoi+KQeMukDgz
zNCkha8P2cyPLx221qRRHwZUAggcW8bL20Z2AL3h+47RPrFpwlmAnu9rZtOIER77UUfcO8Cp8Dc0
Txw76qdaF/Z9lHNc+9vXDApS7PPdJbNjf+M10Wco698j6GU/F/vBy16GGiKeGXEua6P0Zk+sAklr
LCkA3u0rfKOLkLZ3eGmzLD+wQ9QvFpDOJ1EDKobh+xKX/LeeU7Lce6ua1ZysaMQFUwR9Zfw9dSFH
AZPtOBrr6aL8OH+ClVTgBMhfhq9vekO+suMU5WZcAfxDHYH6nf5WO3SweGBtA0oC4xKdk4Znf/Zw
J1perTZuvxi/mfmsm+VYbkb5qagqecymNrtmzYjhsDHCrZys7CqY5a3nCNmPrBP5UOcObae6crZ5
25kPLrTph9E06l3hceQJu0yDw7JXc6ETjEyFl7ML53fh3Op9ZA00m1tl3rqZtmZMn+vw9SmQJXNN
Uz1j3eO7lOhwgmioktLAp20nkgdH1681+K5n+oS218gLySTfx5xnNGtCvAiqepg4hM1h0zx/fag8
3ommF8Ph61PWv/zgEN2F6tRs701Cs5hyyuTquCW7WPUUAPO8MrSYD2ncv8TVaF2NkR5E04KScJx8
a3mBfigD8ROEfHXM3flbKINHDDHDIbBAxrdZFV8ofo7gRKJVy82yqs3oAJHWObPJvyM0psXpOq8m
wzZ0aeaB2dWachxYhZt44L04h06Oo66YRtbem1UG4bWxXWYjtXVA8eSeJ4Qcq6ByjXtX85cTiuxN
zWp19iDcHKOAqo1a5fTHhywEmDoE9lp2Y32ibVjsimG8sDQuoXhhvrGWr9uF1+4IEn7wKIvOXx+i
CA104MQnOMP+oZbljp1zBk3e1d/ndLb2kzL1VdH1YL1OHuDrIQgmxIqSFTVrz0SzVVFy+/pQk8eF
2d66700uuJPkzc2ol55/bcrD16exg7epwoeB7AD5PBFC8Ym6ZTjUdQG0pOmtW2tP2SWN1MXJpbp9
fcDs1CcuRaKTHdD4preYTBgQOa1zbwvUZ12dtFu6EQi0+xAAX5YFB1CHl9EeykPg9W8+r+lpLKJz
PLAPhYMK6TIsFMe0XUsX21E+KAr7O46f00PYhuSc5I+FO5THqDfdqxkD++mTYv45OtmFKK7oVSJP
2bpLRRay2pLVQ19bI6/27Mz5GGPuvrFs3u0oAQWMOoY+Vnaiq5SejTLzVxSmBY0hue0Cde7FSNKe
3WFXhPZvaBifLUd/DkBd8ZBiDzwIL+ngE8/ujSIA1UQXxL9lQ3FgW/NphMi3IiQ5vUfdREsoFOXW
zzkJuk5jbXrNej879SVmDu9jGwZDgTmiLQDZSUmKTdNggvcIQZqWSrQqy1UeQZQ34o2akTqrMXpr
S2IMmhBOJwaB5CFzcbr21RBu1UjnOkpwM0zUE3EGAcbHO4+JI+8fjGjwV/8ukwWXKXS9HmuT/o0V
fjDf35GdBcVBwxL5d7siNaurunpdF+ojwn2V1Xj5bbHMsQ2gVuhZi7vAguzUqm9fzdb/35e+TRXB
5z9+5aCRY80M66P9hyYz7SBauf99X3r3o5l+FP/YmP7j3/yvxrTtuybNZE/YjmMJfhrBCe1//BuN
aTrBziKH8Bzf/PrOXxvTSvwFbgpCNRMIBadV8bfGtHT/4ihyiWlMIx5Yutn/leb+D8OFvw0b/sff
RZWbOFf/1Jc2TenjWLYx9Yl/osdITRnB3Y2KbSzkC6v7GjbDTnjtcCvpMm+zIKu2wKCa7zI7tH0i
mbUW+SYX6U/8R8ODi/NFIYIN7HdZtvXLKE8zWyIPuLxPPP29Y785OXjRPZm0p4k1Bfm/s87le+B3
JmYZzNmNbp0d9p8bhjma3ahiIBOV7dWchu5BL57vMj0Xo7a3TWPCo5U8z6gRVk7l9nvRwV8rzSHZ
sIH39+DF3H0rLB5IImY2WNiJMZgbQH8zeAZNkbAeCK7ktWE07X4blPd3lV0497prJQnrDji/JdrO
wRS1SaH3b4oR9knj2POqU47+IdxuXZMscDZ089S1gzjAiJzv+3KKt4qDIzGr7wY//Q3pKTbKPrsO
rllcQlEx382Ui6zLpy3fhq9a4OSpl5LuRVfyRmpltqKAvlGTQW2oCfvp3O5sh5QdReNcUaPFNVih
GsCPO2KfcVaRUpwq2h99EwI9oM1z77blIS1dQI21BnOG1oqf8WlNwULQ1Wu9COTInEBFUpxttpi7
Dl4u2lQIEYYFDARXUz0y6bTnreiRviwk2t5/X/plhQ+yYnKKVY5bkQmY21BfkOAFYjjJ5Kkbejhw
U15yrWrOehVjjEBy3VNwqxhVaPo4iANR8AyWYo9F+DpM6dVuSH6qXTTbDiw6I6bTSfdi7Bdj1cW0
q/BgNd3vAAYUcrmi32gLHtcIxFubAyqz0PgA8r/H24CLTUw4oklETH1k0YF5i5MrL/xno8w3+vnZ
nhRpg8M133StlSt8TAMIHxHS+dTLHLruwFcMntfx5scnORclA1zjMW06JoXgQ1D93zvevIuAvDbx
MB1dGV8oX8hna7wbGsxvjk1uaBE1R+LsfwGoRqreNb+sz6Y5F1E13dkptoocXOPUmMcKGBWtsFxz
mcLFkkef0vLpKRF04tY/OC+ggvL32ZzMhw6xc0DaJZ8A9vVcXDgVcWWk+X4WvHMDl38ZaRd4XrBZ
rTQ0m7uAVm1ZMTifY8pfRdCXdrotCdh3kTKmTS+sqwq7x6zCp0M22mqss+gRgyWmE+tjaLN+YxkY
2C2YuRU1TGNShhgJtqKgtTYNStwVyM8bja+7bJhfhti+EjTYLBiTi9cB5fc7xEug2WWffacISg+R
i5IYHAEY0ya5Jqr10Bc6jz706972PrMgJr+NDBJ/bNcZawnAVxN8Cvp/HBzLKYtAVBM3FnKwT2vo
9IuVR78zK9IMkMDqGAlGn4DM4DKi2kpFNzxoOiN3RUvfwO3yYpU03U3ZRrMOZstHbQqOejI9kzqM
o4IU1XMI6swU1ZmktmTbdz+qriyvAdgKJBbpoZum5pxWAghe8DgFfUYqzuQcCRO1CEnrtnVcS0z3
drbthggVdBK9WNz11wYkpA5EcGqIRFoV4H/pB9nnwIBIhMwvOXYl3ZW66GHtSn3sG5nc1XbD6KQx
6kONRQeJTntLnQxh4/ANLnDwxun2cTKpBvPsLYcAsiHFZ1p1s3AOnBEOxRAmb/hM98BSE2xiWCyH
OgzOoy1/h4DGeSw2sbXwSyv3ZonyVQfRVcqqPoQusofQzcRatoKmZDnSFrKXCEgzF9uK+VSfu92J
Ggdgw1w593IacQl5zX+yd147miPblX4VvUAI9GRc6vcuva8boqqyKsigC3rz9PrYGkAYCZiB7nWT
6MbpOpWGydix9lrf6o5sWsvNhGp/gCAPnWrNmfnK9JdAolLSm7GdKGC4RrzFNg2HH8001rVp5hfJ
SH5ty8eoo2h27Jrk2jcjw5sPKT7iahuJhETxRG7CXsWrOMO1bR6xtwIwG0ON01XyPSqI8FGXjTg4
kqlbUEPZAwyXqqWXjEAB2Hj/F3DW17RPPgOKLI9DS/gf18lLfd+PuG8MNzo4BN7n2GfPsfIAt7cI
Ah25N2XJz07bv11LXhvDpUwlAKCqAMdIQMdROtOxZiVcPfKm/tVxFmxbpnBnWbCJrH9xT9o41P2a
EOJbtGJ+43vafllMDPGvTJfN1lMgn6cw+quDH0wpmAFzwDrYgA6V65pjObtsX5sEeJRl9hyFTNmT
9+74OTGg2eXlCB9XhI3a9qP52+j+70BhytacTZXkW27IX0UtX8qUe572yXmWmPBb9I5NORMeMHO7
p2yJ76//1y9wIQbWuju0X7q0Y+id/DcVktLjdfzCiVftKlKIM0Kh+kq5ZE4WpUI5xOXyHyur/CwD
Z9kr3bG3zcH+FfpQQGPbeuZnZFUfvrB/EllF0QJGhPpFI+UND/EjhJxDtgzHqoJKwGZ3Oc51/UKi
HeTTLRw+PRr6YoS/lhXnXtUORY2lzyu6C/96aykioXmOhqZ+Ui4QEpVB/03KFf0KBg8QY7/hDTbz
RQ8/+D2uwThOgItGfh4in/AAjt3CxXfT6OHdyqPfhV8+FfTogXzPMSLjB2wb7hzD6gFa2pnMJasR
CFruQRlnJfU1Hx3MowB8wdgiEOsmPdi4PHFmDg+14pLAu7NiYVx+8kZzDrgS4IR2zZbWE310wAxs
ljgdN4nuuBRaIM489s07S8NDzu3ilw80qKRwgYzOVaflU+36uBOT7pgmBChw9lGAckk1J3+HNnts
vOpBjLCoOstQOYtRad9P3U1YIVEb2rJT0gJ7B9AaXPPoGlfiPkkKl9Z1gmcDVUy7YYRR4cnlXg2C
xk2fTifcNqTzcfoNGGjBe57cYYIfZZIvLTt+racncI3+jRwTC+FL0CkuT3gaUZnkk2fMr1hXGBbz
NWbK9qiMkqdZYi114xkfg8vpW4k/DItV5LuUTy7TvmhoAWZAu7ZB6T4QvHl0W/bfIQIA9WXoJv4f
L6IxsgZmjChb5YdSt69NT+yBqXrZVtHwyfypiUaquyTDamULK8Hi77Z3FjVVXUAPzFAIWhMr18dz
cK7YHL8k00uoupLA6cKHQbyEcph5SppvMbHemqLouY0+mbpR1jLMtW4W/9VygTha7X2Z/AHHuBxM
Acfc86FAZuF7qH8K+I97NpRU2LA17kMKqWB/fC0Ov7pJeAtwfr7AsZ5OFkhPWATizM5k/oqy/DRl
vQLv40+nuC0BOSC600X5YK9Tw+Rm3CShVOx0nO7SpCEPIVfE1AUX9by6oN+oyLTpWLfAMvLNi5P8
Wc/RW56z95woRYtJnP/zIWe4hiJLVkAFv8aRX1jCDCm1I9D2ysXguzcH9xPfxX7I/5DRjq5VZJxN
ukTtXR2bfU3XzbaSfEHTUB4Slj/XFh5D6Wfm7GoFUiVYbvQ6qp03r5QRACR3Tg+aslHvjMgJNIf8
BOa9ZKvwXon5dfEr9+Yn/l9LFkDxpvSexZA+VfHs7FShdjDk+kvvesnRybBAt0tOIGNDxr6+k+0t
NlP0ikX8pGaiLGlWj0cryL/YPzZXvCpymyeiYz3lEVANWNBJbM6QcPDGaZEfpetJgjz0dsAqKq4U
8yaXmfzUWeYzdTqoJthIzFPqPVnNdxOL6joNDdGx9YMuDzFAiMOYUiQ7qxXHEJrPwo1QfV07v4Ke
IvnlweutIvvLYon31aZU3tXTiI/fA0EYi+ysDON3auvlKeRys0kE5eM4OUB2SvtY29mjgy62r3LC
tW5MU0K5dClwELTvmtf51riyOIH1gwBd0WhaTN09eqNDPxy/1z1EtaNDjw3DaJLd4mDMoe1G42Hw
cve53XkfdR5+kvCcX2vyASQkt/hRkssAVpn4PqmpoW/nrW24nynb3Csnf1pFw2tdOAw3wvrl5OH4
uFhULFidhakJDwBvhOg09QDAUG+I2Pdpc11g4a6g3uldTtNrk5Qk8Pru1aI6656tDM+5xlALRoCz
AGgoB25CWko6932vwv0SYdit5GPpx86jr/vlwJqXd3Rin7xhJQ7hFts1uMIOlq41T7H/ncM/O9O6
wUprNHciZRmUVg13Qn8BrVu0j0lEIVnlmADyHz2oQ0Zewhsj98foZs+OODNq4kzSpGlsI5x9vyhz
tTnJNgE/5NOYO8nR86ioDOm+xn+RPmb+P4+fOVVZCt9rJX/uFwML0rR+/btVC/+FBOyTsgFfeMTO
fes2z5iRCMy7LNl9b3z1JkKR4DwYbixLH1JZyn3hJ/Ioxxiz+kCBvV1Fd2lhkRMu5498AC5k1/Jk
R6XPGq99Eip4wNG83jEfSqEuuVnkTdaJe+csAYsA0j/hLN1nuX5Ix/rMAurbMT59kmFU3vA8w2mI
1iSfz/cgd7ubsq86hylgp5RIxxnOb3/QxcfgqwM13Fdr8J2rnCPYLU2nCBoQpuB1zl6oW1Fz7RI8
KYVBGPcwm7roCfdCFQ/zo5tj0iUE7h0nHc7MzmR0YM7c6rT6aZk+usuC8a6zBvely0n/psoN6HIe
iIvV9rrdZynXZ+KF15T1swt5Dbrck0LfpUHNmYaryj19ghH3o8l4wfmu7O7hCA4PQbMcJASWTdEG
1lcdis/VN/jdYmASGS16Mp+CoxmNcwgyDoMJ6+COzX27N/XS7HulsYIUuUMnh0mPLHlIN5ZWfR1x
CaxtFM4PyT3PTH74S5L84pq+sHaHRbivhRBPFWQCrwGrbufBaxEs03MdvZX2RfZyuofVM99XyLEE
jUV9P45P0ZpUpi1mPzUtgcnUlh9OTm9mAlzSn8uL5Pv0mdD26KfejYUX7cNTyIAhq5L+ybQyd4PB
RFRgciDgMJs7u5fMN3ZcnTgnrPuEOROE9FM2eIIcdP8+zW10kB4d2WFsFbsuU1QuV817YoT3pdzf
FpG7C0d2sCtMhalNUkGOskO7XgtExCzRDjmUcApqMhPvnD7yG5U86sEdjiA+wqNVwHnBI5a/hh7w
em+IrE/dmD+FCebfDiXfc4VbodFcYQfc1hVdHTvcoMNeBATE8IHN70p0yc52wRlPHnltjgVzoolz
2QAOuXXQUfk5A15XNEKlK3TfyQFHT0wA6F0VkWdTgFxvMAZ0sXouRf0M389f3OSv25NM/pMPmffp
tbicomrKOZsrxAy8EQ+Y/A8LLsxb71EaUBat/WCiJd0JR9UPISRPOmZ0jhdz/nLWCPNS6iN80OFo
ARGF9K1ugYJTM4zVSVDs+9bXXb8po+xrKEuM2HXUH/WYkNJ1kHahD2LyWcmE9Dbl15pkXK2OTH3j
u+twjgs/ENzw5WlmN4fdaiaEZ6nx6FSG74g6ztlIS0qX3dCPoy16xjqZvyAbJM8LQ6ETAM5tbGDL
TSZcgOz0F2JK4aWdpzdAH9kxdkFzNbTSbthN8pNzwUk4K0WFsi8qhh3P7LDg2cwC5XSupLrvJtQ4
Jplb7sCflS3vw2hCWYi8ZeeVU7Jp0zo7talIHt2wgJicvKdhHhxDWmT9eUofMIgyR0fhrXO8Zkeg
q6AMOLcPQYt6rgPhPmQDK7bMf2yoqL1ZbvDYzsI8jshsFHBKlwYVZ4Z4lRZHxjc4+D0SwqhLcz/i
n+0KjS9gcSQsZGraonnSxzoGRO/MrniDbPwWrIbJ2nK7vfGbimFv7k5RIRNIVRyGChHzKjSkZtDB
ZPlhYMV2dWV9sa4uiABHs7utwsA79jSc7oiEz9uxtaN7vMMOSk7nHtgZ+qg+FrBwL2uuYo4hube1
5IDR53JuoltZkw+J2QK6MVhyAmObGB0TVkLa4aHsz7WaPpc41mw2M7ScovfPjdfK3cwWmMI9caxa
Kl8jTWSxbwPKKWOAB0VcMn/AGV/U2fGBsOIjSBznI8lc+6KSK5fnDgwfy9IlTcoLmHj7ua2/qjmm
KT6ll88Ajr/+86FZ/4ltfHEMx6E5ul+Aj7K7BMUGQbUaOYV4EPyheknYhPYK3SQKwX9KjBKlg6Do
qjnZRYuP0GT4bEhT21sei35jYVc8OGVN70BbnftIlsgnWl9iBg8IQ0F3aiaMNfDiL7NbQL6wBlD4
2voWMpjPFWv0YuypcO5Tw9UyesmHlNqfyX7o3WJvOWrZRlOEZhVkVQEevHv08m5kfnO3C78857r1
fkdQCR6NQCHENKsPc2tXBwKr1T2VDFv3JfPC/ipYL2MHyW9xJz96u9lWhp7jprMgzFite6N0/OrN
fnotBTkZoo0c/iPoZSds9c2bSR2rg4466xvw1QZ0AJEvNnR7rCKbDBkai7Pj3IGT+BUjruDxNile
UPecg9w9u8EQXnUNVqdkXN9OswoYjtsfTldj4MloIi+78ZcSdnkkbrPLamEffdpJsYpx5RqtKDoT
+TR0CNXWOyqayR17kwUKK4Cw8QzCBVTl2NxcO+g+JETehdLevK3jU1QO4bFsQTEndg0kv8k2vhkw
p5MB2bsFGrZU1g9bGZyPw3mRpfvss/Fgi7iy88JLRhPgoc55Y5HQQo6S3a+lxVcpQGfeJFQ+7IxV
B0b8xUx05BIMxBkfPxTAYMA2cxEjfV4fMo8oR+fXjCd1Nd8GUGtsv1oSKt6cXXjvU3iU2wuSSZ8c
NnBpm9VDvFSPCofys4xKNPe6eRhD+n1oiSNURN1l0aDnjFRsJ/E87QKg+JAYyZnX/mmcUG17XY1H
umB++IgDd3Mnu5dvFYcF1MjCxaU/HTKrprxsRWtgBg1uxj2SSvmrdFo8zJhtj76ayiPopenVHXln
VGP1UgcjrIi8fKE45BI61nQAErWSe5mYC8e8hItiekow7hiNIbrHrImBaHJ+cIHY+3Hy7RS6v3Uy
C5+MbYOHGBx7/8+/zkkl950dEc6fYvzjilRnbJLlq1s+wU+7d2sR9KEIjikgMxyQfHBGvGrXohjA
gmhqiuwRQ+g8MjirhqYhoUjMBqLvsF72OJ2QNjaTwnQxYTm6BIMJt07HdZxHZM86YNyZsM/uIfYV
uIjvxZJnD+46SP/zT530mX4qdQp1cI8nqL0GM0bnKFjCY7b072yMyVOxEHkJfuFJ77hk0nXDiM5W
lx8f7SDRR25wvzB0l3cUKbLHGbkCTeWHDPP2hk7aHsn/vC5CzJdZpm/hUlsPMS1whyA9aFyyb8Xy
PLPZuQfaK1asN8DHDp4YX50+gE1Ldn62xOccq8NW9wVOrvDQRqT7G1huPWDclQ1kMzRVDzM9sLx+
g1sYRvJRDRO4fMs5VUAgLyhD9qYa1ota8EP3gXlKyuiXTdHAg0VVV0zR7upAeUh609x3QxNteg/A
NRW9tPhNcAcSO3x1dcwba3aCrQqh14kZJ7Zyhdl703KeMkKJtG7Iz6W0f+AhT2/lPN6W3gtvqi4+
lrRMGETCU1ksf2ZRqidaqM991SoaPQZ1KQrIqFKpDRsLr6tPuZu9uGiE138+jGBCqAzL7X1qoms2
MQuqJPvuirm4Le74EES1oP2azHy5NH81LVAQ3F+wB7+hZw/3SdX5JwTd+WxnxK0qciSMpbxSPE+f
e+r/hnrOHuQEzcZjwXfvmPxqvBpjy4Rc2GFY5BrwGSmZXtOi17jsQO57CeMT14t9R9b3Vgnw6N3g
kpRo8nMA6RiNT4uT9ghqyKiYthaoXn/UAGGE2+8RR+jSrXldm6lif+XjzmE8dDYmbZ96ujAfll5/
2r5Obj6laoUASB/2hnQwJMTTxMh2H5fD2SP1EJJCC3v/znN+gE0Yj2FmvYJT957zgCcpZVVwE9DM
WKFptpMWZMQNuJz87HXk+Sef82dorlRHtRvd5faWcDKXGhwxFv/9Ziim+TmwdHxQrOJqtK6t63fw
bQLxDlRSnJIWQA17I4IDzpgCiqOjIdHmMjVy+enMtyUwHJKwjevyaeH8el8jnQ2BhQf8//HGzdp3
QLHVHv9Zdkgd8kVgNoozfilmkJFKjF48W1UZ4J22BTwli3wPO0WAhme3zzmqHZYHsg2vgYAjElh0
2JBrxagSGVYtDoh/Xtz3lrLcp5S2hBAvGsSnSb1VI6NflMZINND0YCAkd43tPEYRxKK8J3rZsO84
x2W9ZydwyHpUagFdJKEmcltVg33OJCqxscYd/0YffQyyG70Pw2+dlMzd0VGMMN+zugFo0s28CdzK
ObicwXrUAEHm6MEUnvgYMA/v5sZx7oUP9U1wkB65OuWHoZPfsiWgk6vXBuqz69XmqQ888cLVYtqi
fbMLqFeGWQSSQFHwmK3m+Ka36Z7F8apx0+ySzs2mjdsWDeoZ9plpnVSiaoWTwaY55Rp2hvFxbFvD
K91qgA2mArNZFwHxp+frlHryiilOrRATTmTPCQ+xGIZDNYP7hcxlrm1ezpuC9/JTOFW8WYsFhAmb
oSNmaRI19bLwzELYElq/z6uhvLD83//rESlZccz/P4+IH8j/l0Xk38rvpPn5L4/Nz+8/bfJ/uUv+
+ZP/YRSJvH8NgRGEvgQ15/2HHeT/GEUC/hcLfpct3cgL+Z36zwSj/Fc7CEOQI0FEHtIK/tMoQrgx
IO0GUkD6AbgJ+T8zivy3ACPlgaGNT0Xyd/mRH/yXAC68gyAVs3T2ld2271k0r2xeGZ+j3iDwoqA/
wcBqdwNVMZdqKv2jXxTcucYI8bAsc7gw5KeY64PivYuwutkxjglhKv+mgsG50plGviTWza2W+tsV
Rft7ovFiL7EbYIcQrGIoGCXnMSkairs2BBDCjvfT6en4xLc/y2tAKfpMImXgZigoEEJjnCBIxixl
SG5VB3ekRQl8JNd7pJ+cYzT0dci5kFDKs7GA0XwTMvdf81hl7BNSlKxEuocuG9vHNM/YsbQOWj9S
JK03JcWPXRi155739gMdyOkDFlCLrtkIC7b0ukcVuEAS+pJcgmBB0ZeivRtt1v7HtNPlrgow3OD8
ohM3cL0ns3puyHaE/nsL9+DGFmf1XuQ/8Npau8l1+l2oIIcycpbbAF721oCKf+xTT+3NSAg75BjL
kIeF+VJ+0L36tWV2qD3uriPhepX0ZtAsMPooW0v0gSU2PRAELTjyG+8tidz0lTyN+BhHLg6L9JqT
yCMJv542yrqC3boQRfniflfRL2p53EUh76o2Kv7EDIJ3MsRTqAW1oiJEIOMbS8EmVPE7RW7znjiS
PmSVbD6o6aWeU4PAbtEFOCRLeUSKI6nhqvQFTjrV6w0nS9jTZ08jYXqaF+TnQgj9aFBcwLarjmtH
B0BRsYZ0CQ/stelnbhion6gSyWOBDWMnucHBfUFsrC2L2yrvXqI6FtGoLEiYXaf8TjWdPI6TUR+g
DhwWgfYw34kAC0uWQ22KXXSGjDn7cRnr8dZ2VDTNqhMXq+NLElL3Tx46zFE6DsHvqnGhbQjcp+Az
trEXhs+ohN0tbKnGRp3xqXcyNS75ztpxpQ3WJsBh25Av+OgJ46pNG9biYq/uevSkCVQ+m5ZeB9W2
T7iyBAXbnq7zAHlRjnI2TaG2hQVRDhojo26CdVobF9FYOWa6RIjRezNl+SXMaPNpaE/Yd5reJ2rT
Z6pYkfbdH6Wti4dKCCxPbky0HTTIFEIUY5oDMUhXA4upmH1Sg5mEh0Ru5Vw3V89lkpu4Nh9x+OIS
yLrxZHzVXCe3ZFqy8unUeHZ2myuc4QV7V36TKAWx5RIziY/Ww0Ks9VPxrjvNfRseNYwhIoC0puCj
oN6o1MnVIgpXUN+WJXvgw+rqmCjFFcv0iIG7xySf189isCOkAi0eW0b1I+t12uhVUCRbk/Y9LVa5
6fvzpH18+nHY9xTcJx0T54wMkhAIcBn3Gatm8ejZPQiRtK5SbO7CdjEB4MKk0xvswjH1QC7QKVGx
NPflOhgmOfYSlkxT9C7Hjv+vJI6g2VHcHFLhCJG9o4O261+9YSjfC8kPfGN7Ce3PXIEJuA0JVDkW
wy4p13DZuw3upxfam2cMXhr36ByT67v4VZCDBWr9zyhMoxNtcO49ewVx50wVXbtjXnhMy5Mi8Tj1
jdgXtuxPtb/Y2bEQfvfT1uCDgPmLa2fPZAKZiNC2Hfq+uKpN1TZIVPVZgcQ92nbtcZVeyls8YtxD
TCnPicPfgIQZT3BPqjT1NjA7en9XxKM3nQM9U9YkF1cw9Tp0OfdBbdYgGw9iSEPnh87tKbh27BP7
I9YOQxFSTvfHhq2m+dny/P6MY6d8x2xYnKe2FB+xLjrM13zD4MnJ0PszYyewd0Q65J0ahs+skHwh
YVpUvPhr8HgpXZTEjtsoyaFU8Kh6dkUnU9cTP9F5Jw9d3jvvqRPpryVOKnEI7NKNn6BHJruQrcem
axGUeC+mL83iW7+VSmZ8CHYyuTDxZf0XCQXDhT90/VfTyAkUKc/hJ4QO7z5LJ+cbOZYhHmd5dVK2
Nd+n/Nx/4F4YPiuvGU6oRCNGuAJJeKg6ec1rW+4Wl9gtfN7wOEVwbdEVO+9xKXOS9ERnHgsvqJ+9
IkMAKOr65PUSGd6FX1RuO2I/iH7kt9hUT/BjE267g1dEVEmr6My3rKGx2GuXN0T8UF8iqvTOtUY2
tBLxo7ERriFDuWnwzCs4/RrZlTmIa5H/uxMO6bRets65a4daPfReqqddPtDSUs8eQfPKY728USQe
uClQsCRsoZ6S0R+hztrTm9da4WvV2cVF2ija1JiPR9Ml6cG4yjlhO53v4R0OP4NBIPI0/ah3Wcci
0FN8TjMM4asdeqRrZCSe/NmpjlyPsFeHfJMP0cCFfYuAMrxh67wTJFwofdM4paBKNs49uX4SFcYb
S8KbyVCQqF687O9o2QXrwHY+LvaQXMtxDD9DwKpbkSAslgXtsgre3W+vWPzvvsvXft6o3i9YyWC/
FdSC2KJip9anWZOB0Y+rbrri4y24fkinmX4WZiytc5PC8nu3+zh4rWWDmUTLcsj4O7XzLJt22lsl
8k8XEencWJ5O06tL+QHQwmpWBWtJttpgSoA79mhn1JNOhljT+tpJFdJ1nXtUUiiVTd1B4vP8QhXT
T0MeAZExedt+ijlUIXXrnUx3tUMhA6NEfWkYLT9Ya2ZoRrQN4TfP2vYEjBd71tzp+KGdLKe6pJBF
PSAu/Wq36wpgBWnX/sZoNH3jUALOoE01/xngt4aAlFT4CcWQtKKc6ucslDFdfTEsqe28OlVDIusc
MZrnfmN3Qf6aTanj7yfcQDre+AwMm7jI/fycRgl/MDUQsLMKG11osvC8VI054Igpby5vES47gj/T
pT6esj57B8zgOghqdGLVrDCPkSsADeIuO5Monnaccqk46ogAzMklT+IdiK12uywviyeAMbzyJtIQ
4YZo4uSc+ZVPVmh33xuan5V9sEdlf7BHGK9l4KanJTLTCqt2ftPIQvLVnQT9EX3GqFJBblh6i0In
05FQz5lzowYUIy0uDSv5JvI+oKFjkmgmL4Bp1PR0MBYm3JXtetP0Ej0/NVPkrBCjgfcWpUQbbA4B
zExKRmpTQGeNKPygXybF/YfDDmtYRFu5De7jXQQLxUBxzYsI+pttHTNTtHwWfv28jAEwj6lz3Psm
tuRWY/fZO9MsL77GpVjRWI7T0lowBBm8lGqF447RcPL9pToGkPrPVtRDgZdkcb8qrw53nURUoqsj
2hZpTLQmIcKBSQ80Oc/4gShYfLD1GnVmLu2Ay6rsGmRNiC+A7OsJ3xM7I5U4Z8vz5ydvIjzh5ZSH
VPkb4AiLGIdlPzjKYpFac1JWVSE+FyeNL2nDQMo41NzpPKxQSbrx6muZnaw0X0gdd9Nnb8GOG0lB
nWc7KXnyXLHAcXIi/H3K3KaYEmqOe3MSnr4Je3wc+jJ7DhRGnTQYs2sJigxxjyb12I4QG4JkCG/F
wmSycYwoTrxk5c5pZdRuglyzsOZ5gSGeRqN76mxoEuGKM6eKBMvmHK7lRE6RHSn8cc5SRF+5TRdh
5AHRowJWr4Axegvx/Dl/jcKR1ISoK2Jqd+Wy9NQXOL61wyNsfwlEyjO7ypj84uJTjkkOZVhG9By/
YPEW0XG3WdZ+9xTw3CnO2vQYEcp6CwXK6IYniIGVrcN8IucqPy3feEdXa3H2wTezk5raYx1UHNts
nO6KvrU/1DLEQIWLsnoPR8d6cVPLPtONSPLSDM2lKG26VXGRvNmgkJ+BCmc/qWGaCMOmzcBeQyd3
ScEoZS1m/G3btD+n2lW/zOwkh5L3wt4Hsn4rRZhyG0zbkzNT9mNGkE3EuMNzk2RcLpxM0E0wRxBN
aYmwMb1vFYYJGHJefJssKta4qM3hzg5K3mIwn17DKdVflgu7XTWgAWy56l+yay+FYlekwujTJvLV
T8Vv4kDxZ1lHwaH3uQSNdj5sixxjeTBFCFvduLBvod9IT9i6qSaHieuAb8kmWq5CrK23WBr7Lu1L
9xo0idiHpIFOU6vUe4I389Rwa71EgkrcORjjm61N8CZ94dzPOi5pJiJeafqg++Vim7hlPXoOJR9l
sMvGsb35bRU+5fninMlL58dKtMFJ2qsGV8UlYSuxOlcR+Kf7xS3qvbFT/w3sQnJji+p/MGXi5wv6
iNNxiQoILlLgq28H8CVbzylsjtiu+sBLzn7XzcYD4U3YaFzJrgFe81969qldcaEAIautma0o/4Pw
RI4jFPrHPGT4TCrM2ns34zNSVZ9127CcvM9g0JQepoF8apcBJy/ctbUHUX1Ah2Fp7Ijy9xDrFriF
W8Q3LVtCzAHQFVqzgOIkeR/eIU07r+Ewyj29cNB0IaPe572d7B1rUPdOHPQvmLNbYuszeiJlZkeo
+Zz1JCdIAoMv/ibk5N5A87GC68HKYhqDblpTUl0JWif9sQd06BIk3zUOWL6k7nifB90fWcfyji+r
2k95of74Er4sDR3p4zQE5qXmSbjagSG6l0r/IVdhbW8NxIQNum2zdaEmbFR3i2SaPcfkBW5xUfpn
t1qvppac3r1uNPc+pbxorW74MmKVqdH3ooNfhBwYaegdC8Z9iqOS/GDhtmHsWWsLk6hOn7ixtCzB
mvZVAMnFPN+phyyWzp2TtsOZnRP1EFHIzTIy7attCCgEWrB2MLCTPGEErQKj+KRpJ/mZpzaBVAU/
7TC2M2b2upo+dUhnSsE2ncSAWxQPQ54tr6NC/rNktjzWy6B+NEGh74ZM09Bo5G/2IwOImiE+s8Q0
WNJVAeA2MvbFZ5kxbzJN/nZDp5S64CdpfvbDemIFSC0nt3PRl7uUmieHSyVEVXPWBV8gWUDoVgl4
4hwoGzYNjIhigR8FfhWpw8zW+KIJO/Gl5z1F2ku9xxiWA8emAZpmvPpsz/lawWqRPrAY3fBIzZeO
jcCRcHpzMvloXh2WAH+hMxcvhPD8WxTL4AAhmz4Z7S4PWAj845imSNJTaEUGl2sinE3JSlbvsyFO
IH/2o0dWexbWNzejmji/K/aZGtN2l8a9/VBSinGsuAdRbh5204PwR1wBrjJwTic0pGSz5CExAN+J
P2yEnvuxKYM93bpEfLxp4BFO8KkvdkqjSSs62DCMx5STpWOTf+Q01Gz7tube3grbfpW+b6MCR8xv
GyoWNeHFUl1DtkynIYjldTLLP/Q7D7B6n7kcGcmi7ftidAiCiNCFkZUuxvogc+HeNcJiH0H6ZcfX
Zf/F+YhVM1wf4S3eAiq8EtZPj1aXQoMhHMJx1vjOS19AxchBcb/yGigf9GQ3kFnS8dtq6vro6MKt
DzTH4KCum6A6pyK0XsaCPif6R9Zfmorz4KcNVv/AxorFLlk2oseZNZmST7nvKIpQbXbqVBl8iJ5S
GOM00dn33OkNEX98CYyX0x9nz2avFiBfvAm5YY+ZaM50yPkfcyZxhCsCw84S63vOxe7DIg6LcYXy
8O3SqfS5nmrl7Kyu8X8OvgvgWQXkqEiRqCejR4kxdSJV4jfqLutSS28IrPBo4DR4tXlVAAkc/OBH
RZsWs+2QmwPOP8qKRNJsqQgqrk5aDa8Sdwg0s8mjaybw3sHkG7EB5K7pajZk67tpZN3eU+/g2C15
8BD/XaZwN/bJ6Ly02rJA87u2Gx3djuUZJHe2kcZJzGeEJHBJR+5G20nO4zedf+ZJLvVaRNzTiZRY
ySu2y5T5ILND2DIEQE5B2XQHnYTgpoomoqorsKDXbtuykKfQSO7hw3rBQKEigywQL462bMxbXxXM
CFgbDoHBiBqTx9vhEmrOXAib01iIf6fuzHYjV7Is+yv9Ac0EaTROQKOBdqfPklxy1/xChEIKzqRx
NJJf38srs9A3CyhU1UM9dCZwcS9ilJyDnX32XrsGr0KaAD9Trpjuquy+T7rosV2AUg+ETj5tan9B
wU3RwaNG9DTm2gF9Adyts33K0LFuc81F+R7iVXueb+hwD2XuyGN73jt6TLe3BhCKx4Pq1QFoyV+W
IjKOcDUsrKnd0nwjN7OnuQZgnrn36A3NdwVw/4e3JT5/T1V3smftAhoEebEPdPNUlk50qbsmP9Qy
1gkGKmA5TR8ThhqRl47MjAEWZkxl+GZQt3nl4SwOKCjt3ZPonPxpmpnKRwC0MdjTfvyirIFSVGlQ
1gT+wbTvIIgY37xgLQ1n/5YXGSnLuDl9Ew6Q+N8sZALHa0zqpDr1JenW/bVUZn3XjGP+mHj9uNdi
cLDQdQ04bIgvN9S8TN4WXrFvDto1B1AcYA9Vb6uDm0Tt1bQdglQY/abXQjf4hqyuNPEk3hwki6tn
dYz7orOxbilidG0tijOQeOqTsW+4P1meOOZqmTDyrUWeURqTUDZBjFBH/RsmXnZPEYFvDOWpZZ+o
T03vcfn5LQ70xTl7biT8Da9YDxNAxu3aDaZ/GmnUpWG+5v9h607qmRbc6sm2TecdCQnPGh/lYG4r
OXqoOpNABGjoCtzWkdc9o0ZUd21L0pL9QDCsmRrpAowq9wKznRqlqnSAiEwCPIzjxc5jhVNlP5iC
cZPyW5eFFjECbEVucBgYu9eUGVVfPcSWq0bq2XKGhY0qImZEar8N9TswJwKmnguMAH9YCfN9QLO0
2aAwEbRtlOIVaMs/3RgY36MpMJu7IHhOFPPyTXYGzE7bpooJVHqmI4u1dozpRhFabGjA8ZIepMkf
tpJ6ZBoXAqp45tJoGjplfgP28neND7ZaSLcMZnUGvZe+6kqnWxBOzZOJcwhh3PoozcZ4qNq2fK1S
n4bz3IetS68FVzS7/LDFuouVrU9dkqfCLU4lp3maqqkofgeZMoGvLdOYQ68AxugEM7VLWDT7Y18r
2LAsLOQLS+x65xTSebl9xgkoXPx9JR06HlJSlhUrN/aLD8xp0Qn/Q0asg+7tsuFymDFQnhzykuuR
n4egGo/3OcHcXzOw4l9dT49KrlR74g2Vop935oXn3LhbZsEUi6VkvvClcvv0lY6uyTi5D3WMN3KF
Gm898pWS8HTlzZUaDQBefMegOapNoJWN5mz9cYFoFruYJzh1gRXLcLz2pAwNMZYvjoGOEwxMEQ3W
zoMsPPyJ7Kjr0zDK/pR2ynhsTGdZ6JqBq44bNH11KzN60i7Kk1fbw3dRupQekfDbFwx3BD1Jkw7r
HDczpodkvHWwIRDi745T2jBAKH158Hgech03KJgghZgwF6ygcGQiBjwpOZivoiWl8lMLiCitNZ6G
AJLNCkiy9+7kWXYgx0QjSG/6CflI3uUL0hsdHH3j89igS3zObwxjGCGLUabPTo5Xnezs3O3Rk1gD
JBGZuVXhJ9kf6h1vLGM2VQM4mnTn8G56KgutLSJ6M9WAc+T0WAQSeyIV1uZU/lW2jVUzqQIS09Mi
fg1xWcDlMD4aNL4XCwD3duRfQ84y6bfCV3+MgFPBfXLSZRfAtXxSihNOFjvddZLa3dnaIqRhLvIP
e2jxg82lfeFZa9+VsZ7eaaud+agJ1F2hE0OUtljyZSsEl+J2ynTGEHsHBRiZ4/4Z03l8BiBaPC9V
Pi7rxfZ7zKBxTX3VNJ+Z8DlLS2LpsZN9MYskmzatodlkcccNTWH20+jPPum9eJx3zVAVz5Wl8nsP
Aw4wd48TnheAqopdae9AR0M6JAQ97pBkbMgMXNIPmdCMNGZbIrJSqoBDpzJuJMIAYYhVmMs1nCz3
qdtax9a1xHNrlBGdEEFJ012fl8fMSnvscRWFBG1cegxKUZvxS21CsK4Y/DCGUP5IuwaF43OqP5uR
co6xsDE5YC/yn4SZl7C5MHg+malVXmCKBFdhyOmx5YH3tei5/UBgrjg1JfGeNm31PQ1+vwmckcJR
Kub2eOrRZtqhXe7b0cNO5tT6gHrSqVvOF4WGx/UrDRgFLmd/yl4aUI6PeiTusVqGIn8tZF1+oqLR
WufzxPbamrpU3Q+UOwGmYRviykdGVjZLeCr9/dji2QaVQTJn4XZ6glFWuqsYwfLoREaMWaZl0WPb
9luFwZ5MRA+nZJGgVNqO84bVqfvGpxElx6P2PGcK369XehyBYSUdKy8tOP1a5X4YyF/zhHLte1Wq
kXuwr05VQ5UBk4hbkBi1is+kbXBpFWWwc6QsX6zBo9m6R4E+5LLSVEZR0pjS74II4gahDzd67yGd
IhEGROCg6lb5pjLYFePMK7ZxAyWSr7k66po8Fg9otdV5X3EaGWZhkmCzWbk5SMI8X0Y4VypenjMY
2xfVWtiLutjZB1rQDiZ700SUAx+rbmMMgg6do2MfTw9IPXpPbnq54AYoNp4fWVdGDX3GF9VeLFXc
kFOzRVTCj/yrKNLgLQks/4872RE2Of4WaClDsS6tKn/jhTUhMym73ztC4uJOneCNpfJ8nKplOFGi
a4R5xajvVA48KO3UhybP65BnDxGJPtZ30YCJqKbnCaoM+N7DCKAJAJfG3cOZacBdE1vzkxFgDxqQ
OtAI5vmKgukJ8rdzQKzbs8Q9I17ucBRNYriZCjKtFGL5TAdJorRd/OBYudn0lpczOFWcNOk7x11U
SkdNhzQIPOrYRM2X3EstLhHebx6nWYR2o/DNkHVkq00Yw6RjrkH/7/3hkXpejwZAezZPfQIovbbs
8QqxczxMYo7ODUkvAPZUaOxL0ENMmq77Y/ntTTGgO+ZFTD5HyoHnCjmEghU3BzeCWAzOKwQZeaU/
09jDQKYZPrGd9hzDYfvlVCNg15yrmLIuqjCll8I37N1s7XkpBa79AE9mYMuM9Tcnt+VUdob0WEAX
E5kfndi4MRUpY2DnM6MUPEonNcAa5MaDTMSn6ssRqpyNLMEX5uaXOMhhc1jxfKmi9CrMTJChxx+K
H1Fj5+7HjaMTgpN5Mb2kIB+3mLlwXdWgph1PT1+UgrShuQz5W5CpmT5BI0reR+m1GVGXTG/RQLr1
knpIY8AsWOWbNrRWq5Jf6WJ1+1pGxing/LPGN8yDOSlnbH6g/LgVijBDzwY8bw7dH9ZdeKPr2Lku
jbUcxpmrU8gmwD3u+MSyqvK8ZNW8bko2ETOGMZOhYGDVjfzhb4vWMba+iwLXloigvJ4AEQV+u/Nj
dP8KfevajZM6EqfpTmliM9UiOEbBKrdn8QdgX3amUJugeXwrZldOusN7C7CVfHR7NrE6nitC2B6F
Wr7xMkZzB5l7Sfv3fnaiowMbqV/9TyDX5CREMW+TUUNWbW5yNtUNxUc+mGS8rNsRuoJvdg4iXoFu
o1OiPVxZr5aYmyfpJOLONUbOy3+xEP0D5fJP6JZ/286AGQcHaUBrO0tAG9n/n4H4tCuxAh+yHsUv
1t01Afr87A0WFXAJqe1HLmPyfZOVmDCs3ShESq6frQb1zUfTDP9bnF+7n/rhV/nT/a8bduj3v+Lv
//c//yc0/H9QicJf/a9/+g+gn7ixnoafdr78dEPR/yv65vYz/7M/+D9+/jOeLmFJSDn/Pvbn/3Td
r/KvVq6//4K/W7kC928m87a8gX9cL3B9/1+ZP37wN/fmn5K3rabJ8pYf+QfzB7APP52pW8IDAhnp
YLD6B4xeyL9ZuL8op7Qg3Duu+K9BfyjD/Gfoj8+dGUiXP83m6rGkdbu2/lKmANa4wnWt7D3Fv5J8
jyPuiW8E+yhKSEzJOltXOsNj7nL05NwUgzKIg7XEDLThaNyuE+Ir8TZ3MS0h8/n2BgysZeFD8lpM
O1FBLsPDZ1xgnC+CwnRCZpchuFiVN0fHwpPG2gFJfOLVYj2wpY/2KiYGlNMjshvrKPg0mlTvp2ix
VjPTxBggK0eet+uHJbikQebetZYR7KeaOKhIDHMjbbYutUokqjjAiJgj4qm/lTOg/zO+L6lzcB0x
PknhzHBIDOc1iGnKlAHe4YJV0GtuGd2+EhoiKDsBooCFf1dMZk/udO43WSa73QDE6ZzGljx3jhB7
4hM2VX4lXdXcWtlZ9dLYuxIsih+1yR0le8HGYG92ufGdV0FJAbnZjNBvmKh+uAN5jXVw1UyZN/ue
7+mrl7f4fKMRWDFkslv2NdChH4wUXdDZxtlo4ajkVHOYCQCgnbdMKysti8fJ6MZVTV3TKp+ZwtE+
9ZMSkwsdOLG3ZsV7F+sSqeygpvdK5dOOJyzQpSy5lbo0ZPKJ/0fhnDYyDEj7MnbaU0iunvL4RGPW
aotyJUZmOVYeAQVbmoJ33PubyC6d82y3NzYmTvCuquOrSDjvOuKwROZX5wykT/LsayJhsTPsbA4r
0hq/o15MW9uevRWlK+PRN0cWNrhQVpMKqoeJEgS8Dor/rbC4Qk7nS6Aqbiqkeg6iJicIEeDyqTth
0OjhLRiAtd4OvAJC3x2LLU/rEotsU9HsPkbeHRN2RkkrUY7nIBnbO4bf4IfKEKBA+ZSdI13PLC9b
oLdNMyZ7JR3jUlDmfgBlAk6h4KI8jr7hQSdipI9HDOO8l+ODyRFpZc7aPJQKDIzZwLooWnd4TIQB
Dj6Php0bdJDh5sGgGFcYwRHtYFhnREj2hvoXDjZnMwP8AaF/G6aVrpx7ZzJtQHwzPcwF5meRdEsY
DPntWJhmuxh/dBiVnb/28mF4zY2RPwoEgMvfy8V2aApYv3Dlwu7GqGYnQfduXfxCxcgIg5rpPu76
sgg7E38RZChXbIyEy10HHAGCWsJAIStzmHFh8r6IG4fP0s437ZikxOiyHhRgqS+xUzIdBLwv12mh
rUfqEJqDXBz1KXxJ5XmHKHyjncZN6ECRhK7YNhsuL+M8iix6GWIfrSyW0/AgdLFcbXckLgtrIcCJ
2RFNYEbNqcNdenvNA6w831pYwxQO3i7IU6AiiSBliL//QDFvvplsnCZcZi2IJDz87LKlrTB7CSq3
udvZ/WZ9LnfwMqLtIprxqXILSbOYabwuog9CZoZhO0ygP/BfLpfeGKpzOxnGuxVlEqqGORBKGclU
Ctc0jlHh2WduYeWwA8AXyiquNZ5AkI4sehtUaFuP9qEUo35NnRzhgmfDaUwJWDUepbfQPxNU/s64
43rL4GZ1yddokueChpqtaymAK7j98BrXnnjN4tkIbex6V8Ir4w9rEWc7J4P7DN8Q8G6nNLK56j5s
N6IDOBUkwmwPAgTeOv+AjFGsc7wO52EB6MZvWu/SMS3CufCbVRf/GPAC+1sSRcDV0YJuTW0X6tAg
Bl2sPP4TE0Z/yDlDhBkGBywNsc2ZzsDeC0IRvktfLekjD4P6HRImlw9EUb3P/E7dIas0DPc9Jlql
UjmuUvae+B06v4JvgmB7aCjDeu88t7ux8+GgBEutH4Z5bK98+9HlsK5OF8da2mPNHhI5tm8S8ta9
/Scb6SUi0LFsaM7NHoYk7nk1iPl1loSlVhJ1AGi4VbOg9tJ453TBtE2iUqwMc6pAA9fRkcggwRqX
5uddbVLJyYOuCCGX55exA3qdRR592UMxvwuVULOoKb+Y+8Z7wag1PwQETHaV6aqvok3Kg+1k8l4N
0Nv7ts7vyvJmqJmLoV8Jbde8CpAjfjx/Ln5SUXV/dDT5n9QRGWGdTMx/GmjRDgtLdEIrtYFOJ0Oo
4dhsRdbB/az9LN7iL0KkmXyXjBoNWTZCyW+jKxaWGGn7GTVVHYFIdaIVdYDDgXoFe1tblJekJK62
yi+COzyR9t5pBd2qFMEyjS/i0YCO8d7QA/GVcWeEvTSrX0xnybPyI72xUjs+V5XqL53lgqvtHYiY
sirfHBtAjxkF+e+b+EuUqWzu/qVx3hhkcD9oqrwSI/pE/VsxO4l1YI4QN/HHnHA6gdbGbnkQloEj
wmjjY6fUcEDYyRETWlhUrIMuKKYLj1tdfdou7NZYDHa+YuXY/SgcLDTmGJR6jCnMgtS1AP7MFZn2
2IWabNbkbds8HnfBDU7RITFuceXh2DSGkZsOv5KlmRHBIUZrS6Xej1/ncIAsSj0Qj2Ajy6qY7bNl
wBb76hHPgX3o8tesXG9j2+N89vq2POOvw6bNeZxhs8yuo7sY3nOLty8g8AIUhhBGwIOXRzdJmt+p
kSZPppcuT32Tzl1ojGX8haV0eVTYTuGNgG5niqRPe27KkQT10FIiwXvAEPa813lkHG2nrB/mxHzt
FvtxkIOtQr78hCJ6r/vFQ8pV6y4OSGOTBuCffuM6+F1A/30WXSxvSgXdEau8csHAxLhBDqi9MTaa
hMxohIJ5qIwka49DHdOa5815Ve7wiS4sdTO8YtGNHT9YJBtNZv9hKgj5J3oEiaCcpCFbO5K7Pipu
L7LlYzwl2YPPNmhcS+zF3MRoFMt+TpK6XvkozOKsog6zGi/BKbtP7Vmn701qivxrghzwMfDe59hp
NFiOe3cmuBLDhCRJ2XmB2kCH94DndL5FOLF2MRSb8EQoK1hm4DcDqhvzH6tauSVQEL96tfDrHeuE
jt1u1zuaY6vHOqYH9X6x7ZK1W2fllb8r2lunqFvK5TFKIoLsHN/pgVEA5+O9BKeYPbbxZO3wi+fX
SbTuBbtK/JlShfMRcGhViPsVGw+g7gPzbTYlDkzyiK4BY0b1Xzt+Jl7FIOWfgvx8DBApMb+HQSzl
NTIMxKQ2oaEnN+n6ZU/YsgjWsBlQhCu3OaJyIrS0mqhr7upHqieTS2dAuVWs37+BdqswbyGRdHAB
1rz/qSkP5nrbYh+7K8omelgQvkie3zahK5oBSJFLR7GdHfphJ0bfORJIwq02Spqpy8rcmP2Ij02B
xPYzdhVC1eXb3KYTqHn89oqZlET45B40nOyVZcOdW3muYRx811RPFOsMOwVH/duMxuygDdXsS2UY
a9xAONSj5QezJk5y6IYc7wq8r+CUir3mrLhmVVbuXc3pzy6AOYAAkpvGbaAzjXbE/quHhd0Tf9UT
KeigDvyz1VdiDVLIPSyzy++XEPSUSQ2xzqUvoQeXAb7E6s7dnP+u6sXYz1nK8p7o6ytdIOXXWCyU
Upmj8Ygq3cNPyeh2IcH6GmNo2+WGitaqjaq7JLbHfQofO+zE0r/CJcCjY9C0/uaXi3vvqpQjXFAD
lAi8PgxGIALslNwBOY51WjUF5X2clN0eSH3+QLhm3pPQXX4HUWRghsA0eejmvrry8Ep/LXmhkdNK
30NRdcrvCmfYE9kyRSh81C+6KzmOUx7Rz2s8RsknxWLOtYdn/eWbPmMOG1DGAacZd26FIc+rPetq
EJQMZ/AWIbE6Gm7VDLHMq6pTHcmaPldXXLwhTmltzwbnuSKicqjsamdjlDgk0DX2COXxpZcFGr0X
JQenSKLN6EvQhHUejFd696IPEQV2iyml4wlWyOqNQppg3zNrrH1jKV/TPklePbuEYDXA/UB95JMI
8KCt1Mg5K3W4+dIl9HSVfSU9UD1fts29ywt8DUSwuC+Nhu+iwua5sp2if7FM44s8dbfutKQ/eqzl
Dgu0cUdWSp7qkS8dlZkQYrW4e/NWPhbFvnyJLO6cBOVH3VHRK7dp2QKJLxqCSmzwPnMiD49joFyI
jxPvcygKN7eVmq9YMMRuGmFoowRjwwhdTM+A2tQkyKFiRm9TB8t3BGD7BV3GwP4yDvkfEGYzhA+Y
NkL71fPNce+hPVrZJTH1+Dk46JsxJPpXu6sjoOMa1IGiD9vLxvcG+/kjHDsazGjLvE/mNt/gViQW
0xUj8XMstC2NVgtXYjUf80IC2EgcgzVJ1+5YsPivysZJlcSypUnaK9eeEt1W4OVYMc1ZRAw1nec6
VQ9WXRRXD5/XwZhJzc9+Sg4kTrruQplFpNaZRNva+EVurdDgmUXqAO5CobL0zeaYdSRtPV4KP3MP
rVeMp8xlQ71alhtcr4oc9d1EFmvGcunu08jEye5XPj6IxMqeps517paM010y3Ph9QOeHDTYcKAbL
3JjNphAVmx84VoL5KHJbhiFsz6XTq49WiPQDXAs8z8hPwlt042K42gfkZllsZ/l4hxGRO/FEc4MR
CPd864LfLjooHoVdJseSpQ7cRjrSoeU47srKvHOl5p45mczztqAUdduJ2ll5Y/YG24/ACQ7wPf0P
1jqqby6yamhzCo9gReJxWNDYx+JFBX1ycbk0N8yFfmjFmfnSzBR48fLM2D6JaaWBkx+1UP0+Q59k
zs2whOu4yg+8dzNj26YpFj1XBMAV4MUe81GxkCgoTiNzZkOkm2BgRjy8TxRxZCvZEPxRU6m/Chub
MIA1gxlH2SMcXjfIYAj33FQGWLZsUAHHGhinmOIY4Ij7NkSfcfMxptZ4aHkh8xd1hXjKZ6hWndRs
Cj0SMquo5UAPH6Pd8EytfwEesZ/wvi6vpmR7mek52cd56m8i12On4E4kxrCSB3AUqooNL2gUogLl
qm7NYMeT3toz+FXboXKt0JJNBKahw4VDlO2O9Ml0EouFzNMm9YU0BMm15UZH63T8kHR2x4sfC/ta
IlwdOD6NfO4q3d622SHbbPGFkQb04QhgxBwUmXVBgy3lLbXWB2xSztmcsJuYI8wBgWFV0x4q5C9r
LH/r2CTBdnv6m6VJjt+axPsi0+DJYtu/HgyKBbAFee8pSkmIXMR+IJOoAjlhPXMAz4zwzBuK5USo
zTI7JtA9vha6jDm4L5S5S8mAgI0poelAFfFvDn31Lh/5WFZBYPJmn9m/YxK0Vn3AcQwvYbsDgITF
iVI47EnsfgEeMGfGNe0YjZzAzI00B46GNuzbsi9+GwlsHefaN1Y5h6kt3yfChxGpgmN0M+RrXdcU
nQ/mdfK94pJQUhJSmkPFmXY9qqCIPxW2kd1Qhn0ZBhDlwhFA5gY3+3zXF5oS2dgoTnLERT95pEdg
A/o0QIE/YCfifcw2iCWkWwm2ps2Qtsb0ARN7ep5jC3umxSeM7S+gKlcI+YVmJMJqTLu7YY7mr9qA
eO8x1R27MqvPdanJBeXVGIBuyQnML3Yt32Z2SWTnETaNVc2J4Ga6NmLGzM5iL2q7AW06SfJCbBZ6
MSr+juIo+WiAY3nKJMaxVTDPBSjyfg7zIRCvFrGQDeBq52Pq6opOXYl+ob3e+W011KuZmFBP80hn
O27+btwrnxg1AAc/PfWi7K6W7xlvrt9SyGcV02PJG/LTMDoQBCpLdjXepMcx0gQnhOMe+Td9Ub5L
wU5H5+eeJshuV8Zd+Q7dsw5WCuLTbRzHGIXfw4a1Srskuw07MR7ZXkmicZIpwDHMU06o42m8YWoN
M3X3jVnb6pVHXzN85ZhRKL1JoLHAOxuexmXAnLwQA/oPlhDSF/+Bknz78b8oyW6TdJR6DtAbubun
r146Wfa+9J5MsFxpzGZqgQAZSp9b9ax9eECMWQpSjTUvuA0b6ddEHaxCTPsiH32ITNJyT3JZUMoG
AbZ73QjKKMEiWJj356mCoI2RNaeYnLViG3K+mENrUAnTDuzvGD+1wdhJQ8xKlAuvkRbuOMChxLlD
4xXg0MglwaRrunsyKP3Ww7kMMm7y2PN6lMhmFG45NACXNRBz6cVGt4YOMF3iXpW42YzHhGeIduR+
7uW+87GawGZpKa+GpoMp6eIqzpAspvU9MeH6mvLZ8rosp2vVRIg7XRStIp+6VPgVy6YOKHrGsBt6
rv85yCoK+UcoXNKgHsfwVZsSGCR47YVul33PVfYhe3VPF9MbmeCJFzhFYTM6gjXEyaoqtPyw6Lu5
Nm0s75TGbGoV8tMuqh8t5Ulm1rLSQ2mfFydixlOaopJl9j7J4n0S2B5WdRNhtMUdVsTREejp7wB+
GSd3ByKZ3eBvC5oXYwJN69nJ2bGyJFzK9BchCI1/X39ncfCprMq4Q8SmHNJLphNksWwtDM1EkwVl
aPtjeRewIoPA7bG/H4pnxzVZ380U44iBnKJRXeD/702cONJsr5Zy9yRE1phwNEe5wKMWA1F5aBX8
J0xrNa3QKE9QVSyd65DnG6HsOH7nZn9RLgZK0mJhUdv7XJdnnTiPTWHjl1uGexd6aqjdAEeA27/X
ygGblEi8HdVt9PB5CiKoPpolIXGJ9BrCKmObELBiS7EKa1tModHjjBYNXg/ZZV+85XiZjN9p4Vyh
owTUa1sdSd/lG7kOu2HW7R2/v3ZOfU8e9oFsHa5Ne3JvHsEWeI530vPwXetyM00UluA7em7i+mPh
28XPo1egJuHRuqa3LZz6k2njBVZ7CRzTB4vWd9l8FI0aJ+o/hQiBIsfwMNS19MaPbuYYw3oH10RZ
gUMBOlGOzYffOpcsJ5uQ5P2+acTviU2pUN53i11i1TWZs2pKMDkjiBC3HTC3IbAR7fycaYsIO1R0
lBWBYEple+SdqHrZpYvYz5PmhV4x3pl2QLP7Atkxs8c3ShKc2+wu1n0KmVYJdVfMFKzVXq1C5pUP
2bBC17ikwhRHVTjOwaPfmUx1ZXFdXKIrFtWOg1KhNakPYYyv1LT+CYYb157HB4ZC6uelInvuJ/6X
0yfHvhsAcCnhrDNODxuho5dmSF8IloMMhzNgUpPHWmk7+xSJ+Z0v+aKq+wCvdWHcFL00kJtk5rBh
wRVY9w1Nl6bLDbEMuNIdl1NiJsG5BQuOyI6szcldxg/XoHHOxou6ampN16aVv+eu5YVepy4mdTIA
b/i6zX6lepDOAyMnEGFzJ2sK5EvP7m4g8GtjQtq0ZfVO+eHV68azYxT3sLVgUUIcybkzuAJ9Vle1
P8NBc5419QbYnsoH5AGC8cq5tp74BBLAEJ+OJyS+M8uMsFPuT7pEL4zN7wlVKCts12dfiF8o+gQT
A3Gxx8Q8ohKOe4J6DlMZuOvJnn9YVOoV9b8Q25aMgT/FAZbWib8pk5stCvvCyfe9n6DE7BnExaW3
bw96r3F2c9TMF8MKuOCoEsGi2P2kUfaeCvynaA5wHtOHbvJ+Nar9PZBUCN2UqzTFRorZknI6V3Km
5DD4u9ZsQhJCk7pOlp2eC4J+VhkxYzecvfKsvpqYlg9Dk0hQmKl/zImEbnWTnPFofRtxqY81onHo
GcYuj4O9yUKGBc9jXkTUodaDuCyqh5+Dr7bHpu8EGR2Bfk++L8XfcNt3dOzsas/cFmZf/KGyV63p
HvHxQOljgNuZ9AYG4lItWHGia8n5LDGwORp19VXG2U0wKPTaTfVwoL26WgN6Pjna4PNfKNaIZ1Z+
pYDXxmN6bWEbdUS3IXzNKskdT9rCfiKLGkyThSUchX+FonWflcMb9N8lNFpqLbrY+ugVMLq6l696
li9ubzwLD8PDOCsGBGV8N8SBwjyl/sGS1Z5a75iwt6P5zLLfMAGQBc1N0PZu2NDj8MFSxl9jrMEH
ZXWUeKViek0JOb1knq+2UuSAbhzWnV+Fk3G4irqGfYVxsYzmfSZGfEiB5rJAbvgD7CwBsGsVv7Xb
ihXNy/59Rw04eY4evC/VFaaBlCOoAghBIMC6ZGcLOt/Muvyi8kW/eo1Gok1sTWHIIqqUGCa4Noyc
vAYMWJk9C4ZyuUp8XMQX6uljAu5OanFOcVB3lqa10wh6PNnsqOf7xupNaxOZppfdjdiHvmsQehvM
v9Vz7sXWe6FrdxWkhEMBVfdy0xGIeBnSej4P/URiuKzAd2+i2cn/exg6/x85KQCxcij8950UoK9+
tX91Uvz9F/wDiuP/jc2HE7gyQBcTpo1T4e9QHN/+G0sRT7jI2o7t4Ir4q5PCESZoJ4TgwA08gZPj
/zkp+BUu/goTC51HyPq/QsUBjCb/+fyLK9z3bTKO0sFSwe/5b86/zegWXYULYDd1T/7CItovWdZn
wLPATwcrh/36HS3mB8sgxEF5HP2zlbGp54r7WnuPmIShFKZYJt3ZoFXGBhNR3QLSJNIxyqH8uznn
NBYi1pqZYj7WrdseGk5kDNzTqaQ34CTKcZMUsXVPe/F+tDFMqCbm/KKSfW1TrCssUZzweaAsmfj5
9HzGMK2pUZoXcLf0BbvZjzJr50WV4hvuFCeomwPRXX4KmEMnpWvvNKt0U5rpdCiGYM94xT+m+St3
wLrDtll15KlZ84G/qYll21aQ44ZSwGdJhvW5+TAYbBrTpXQebU6qMmreAkIPeDe91QJVk9cYC01/
x3dl3pmLaDdY4ip8h/syEhQftDZ43bl6a6KYWYZaxsF8xCZeM9y2dHFwthtkDlGhpdcmd+kKjwcb
L6qZ3TPqpVBJU4EGiIcZvRkmsbVZOgT3odPNCUIgRg9StnM6IpKTanQHPJFgnOkkT/pshz1tXN/4
Khwg8Ia6VCTtoWjmqwKs6ZGEcBZOM93rLIaTO+WpHmsLMz71lDHxIPNH9y413f7UUeZOMehUYQS0
fQ8OmJfKnWGgyykVO7uySxuS09kj2BI60VVFRZ9LBBKv9p0TBdsa5tqjpMr+0ZHiN5Wu3sZlBIHF
y7FoWqxdLazdPGNQb6IZbINtN0dlslNqMWXfk8yDjUacAosCgDSVq/c8TYctj+sr5REgzy1Ky4MC
L9sc5Bb2DDjZgMuClbcAU+mmOX+gj+9b1NRMOOyGj47T/ZmdbL5rsgzds9smikZzh1l7NXr1eIfL
YZ1Qi7BnuzPvipIWjv9L3ZksN4611/ZVHJ7jD/TNwBOCJNhTonpNECkpEzjocdAcAE/vxbTDTVzf
wR3cgSeqysiqTIkkTrO/vdf2Sa3ShgxqlQZhFx0Hk0Gew/ZZQMRVebrvayRA17O/XGDnWysJiLYz
Gj4iq4EM0N1tE0NjTqVN7HtB63E5eOwDP6FqxfbL9YDdighHDM0bFgS8yztoYJlOKjVWvpzuAojX
HtOyMIA9KYYLFqb3ObGGQ2rCzTe95BQQkNyWSmNKahKoWrTKCJmIVQTxEQTbjO04azpj7y7pmYqK
hUoC6e9wA9arumD+E8fnKqFzCfuUTnKlWE5p5V/bynIPuDoBy9T2qdadr2SmHn5MPYrQ3QwWLgmO
tO/oMEApzuN42kGY0E6glPHuIJgalSt/7rKD4HPUT+n8pxkIUi1F98ueO7wbUh+ORBLaC5OZnyqb
kgi/S3nDkP8GYZIA0You9ODMWCE7xwYaiANnf0cPIQYI2wANk2GoHGf3dSkMaCmibEI/L38l7HsX
jqZcfVR29C1xrkUvQtF7zr6x6pvrEnq1CWnXM8nmBtjn2J2mxDFPjRTeGpsmAaqMdY/P7oS9CK/2
DrWbiRX8YkmYnGu32uioPiyL3SlzcPc2CImuOLQ9GllZSAN6EVlfbnaUf3nyPFmtyWnCGw5V99y0
TnLTRaLzwOTxxgXiX5L52IG0aDbLzDLplJYZZS1VOF0poqHDv20GA9QLXyN84nScUpmmRlUB8Kp9
a4ppPhVd/azjEopGp32sijpm6srYcBizfG/55VnU6HGwd9RxjJcrsEDK49rC2aX19CsjzvBMrxTl
PYfYrIe9qppxrQz7eTA4x47L4hIHa2hqroBCoqOyanXBt0NHBXnwAvsb7gGqzZvxWHIG9etHU/OJ
cZSvXe3kz73zUxGgWYvJkwcIZvk2yIP3fAC6DwT5awwYVTvxHfLAys9xq+O9zAiKpDapTD2Vy5qe
3qID5Y+TID91gT4+ayafncYAt2XpNU2mlv6KiwaaqhWoo60b5TaT8MMqz/jOIK7woWnLoz8iCw6j
AxzSZYw6xL/iJGkeGEOT4jeS9aD3GH3ceRd0xFgRtunuawGYwrgIJ1pW4Z/I7zktnzMM1AveXnuh
jMgM+qgIHIqYh0/NwPREWorRTuWdhMTrMacHoTGQIcTBbkMD50ZU3dmhi3DXi4zgQEtr+9IsOzCU
QsvC3odnMYy6vbOBDoWAzTliZnSJmbbORUuR7/TYrTcuA7Awad3g8vfLYEJYGH3oHoHe+zvCrAWU
JcLLAHEogyhmDpGe0okwpkQdY0w6RpmVJJtKtl8lV2xz+kHWjowac6l5r8YY+Jsxr5eJvp+aLijs
BvrOjP23trPyY5zmH9D04w2jaFvhritsnWbgto6WhYNF8pYPmnsOsumQakjwk5ZwUmhcI8TUc6/d
pgEnwEq4lc4cyrJMNq7TfZBK00KW/2XjICCtU16WLdQExtC+YjTlFZBEFO50xUuqP8xW3uxoiKxD
JWnhpn8P1VWjow7yAfoKTc0VpneD/oDnaTzDG+4MKr6HGSMnaxxX7ikLLnH9U9r9vK+C+1W68K33
xR1fY0hCSTnER60JUEFy/VwWg36OiwdyQu6eiH9yFUP/yDhooSWPL4maHgGBkOMZR1pXOkjeE2Mt
YNZ5KPRgxwjMv6owE328y2QjsHanTAh6s85DbxybB2vy6Yau5T7Xug8ikh9VRwiLJ06d/34pLYbN
nSt2ZsF4IjM2+h0Vg7XlksuSSjAIQKmvv5slsSouOjdlljdp5+ZKdvraMWmi1vP8SccQOWtHvVjo
v2jcyO5Nd0s+EODcvYmioVNGBvUhNWZKlhzxPr8FwaExXj2PEUNuq6dGJ4QDdJAShrmPuKgw2Syb
Tz82N2XytLDTQYMu13GWpDtkspo10KKKAQ+u4DtUuvwcyJlM7Aa0mmOIoT1OQzdUewK/66DVNsTY
dkU6Mdwinu3F1os1y5fAQu+kI5YjZ+7RID5t9SZ57hqDfss6eWt1CHMSEHhvwZKonKdmsF5or1J5
/jifvdl5QzsVlxmgwGQ40xfbuLtSnV0+2bQRbpPMco6M4UF2MWOGvm49OBOXVVbBbpsrC/+wbmsH
XPiY/Uj2v8ihYRjcLkPYl8UW6j6lGU0gLnXOSmmp+0+UAz7nXi5Fz5R1tm5UKX4K8KhrzUJpioN+
FaB4UAnarhu9uhDo35rUN+U545fO8NdwBmB+wCnr+6p49Mzg2MbmafYwplKgkC51uqlrPDNjUrLZ
DJSVQ4jRdMhwiAohtsTqrKzsV8YVeqm8Y+CUr4tnn82O5hFamTYMS+1bDrMG1EEedkaZ7Kq4wC5N
HyJlVWLkU1H2azsf0aEbaFPlPIQspxeS9nADM972bDpqOj95xll6gu++4q2zDjpaXcicfsYEkuAy
WIaTff9y7zfrDDN4MeXvZDKLPUvJ0e+K+dSMIby36TE1m/mRtO+yrmJpbgpUh1WfJfJGhOfequ38
llK+JDdMKM2pVHrz8PdLGxSfRTY+aATgLtJNcw4tco5sZzQeRXqvyINgvQ1czdnP5odMF/M79bHn
SKONr6Zaa6zi5FFrcWbXrZkDA+I0TU6ECS1c6O/Wwv3ALyIoDNaqnap6Z4HGeZRWKY5NNr7wrE5X
vTHjSDP7LDR6Bzejp+azMrCQEEyhsRN65UOmLG9XuPQI/v1lRYbzodKJ5xOfaw4sKKX0wDRCZKSv
e1knrA/hlCcvhmuXJ4JZ0CGZp3Yi+ERrQuBXrMsgB1nVpB22bbFswfKtdI3+L1I056nsP/TR1jdC
JwLbZ8+qKvS1IUHWcGFdZ1mTbPELDNsF++UZ8v1WkWQMacFrIstEZe2dT0klAo93QD938V4v8LaV
PNOucKHyEj2oKNa4cPBp0lOBMjRNh1zat7oMaNnkJrZyldFvdCy5LO7TqrM0vK5UoqaSvz/umEx2
IFkTUFDdPBuHWUjqVPIsFLlHETyzraNBoJZZ6JUoOXIaHJ+jgnWR8JDjEX1wWBnCwI7PHOTg5xO3
XFulunJm+YKl2B65cTG+TcGZZEAfuoDYv6JWymfeuOlypuFBO+/8LP5QCacTBENOWiVHppQTDfR5
7gegnhlzz3SgceSEB41cozk/VtAN54IA3Noz3ChIjQeTszQHwumPbVVvVVe8E4nelJ3C4QlML3PU
iWbMz7HVsIWYpPYn4YZYU1m05ivFIpnq4LwChg31ghGcz5boutV5FEEXyfLHdPa82WcOew6jzeVt
lPGPXXTXggv21luKW6OsU8qxFff1/DIpaW0qnd6Y2Ki6VR4sV0rT59Ui7W8IkXxeWlwaHpW5GneA
WfgRPxfVeZgwaNL1v4WTopiPpMEJOimAy+yvuTWe+HBbq1m8Al4FpmXtcZNjMU+mPxLNddvivQTV
FKxAmZ0weTCdMgvy2bI0o8LrMeV73SPWSZY9rf/qawo+E2+5kWW4GhKcgNTubF27O3G/MiRnFdKZ
yNfMmcfKVnwk8Ksl2m/HdjkuLJArJ7umpZGGtnOPxSBM9KZfz0vAmIewKI1VocHnc2VqOUf20Top
0xkxscfviCzs6HQIm4H35hiCB9RLjhnNMxjcvqw42WezUe2EkxxRYR1o1uw8jswPmJVOrQeDnKum
Qj93YPwMKQR0k7mRPdL8nqTFzrX6Z9PK/CNmEGLQvIL8ud1HldEMkUw483knn8ljGDsvzu7FB8A0
awWYwx0YXjPzxrPWH2bTA+nTnmqlPSp9oPtM4bLrK1rtqsC1QK2xf+iJre8xtK4D6FMnUZ3aZLGY
4rVlOLs7gxpEfE5jvW2JokWJbb0H/TaFmnHoff8jmyt1sOwEUy8zBPbyuQ9pD50Y9kE7ESmxc3w8
ws/XmKtg9eFKCkGEkDgd25bXmDpY2JTpGniwA/wPr/Vc0seZJqO9UUP2nOgXKkt16nw0tbp3B/iy
R5lXxqERsx7mg4l8a3cfoimWKGHYFtLhJ/g2ZXIZc+p8aZUhT9pm26Vari2OGzAYOJQXhpjgdznB
4EY4YgK8+PCZ7/9MMyUYx0AO8YnSJDb5FzjmgJvrTfLijT2cd8oi0vapcZBkWcRoVfBIpudYMnym
rLgNtCwS1QId4S6rdhm+KD+5GV+1s3YUzUwSf2ZEZDLf9gmL+lhOf0Bk/raI1ocpkgbOjsw/KPwR
WNj3ma//Suml6lyECqcn2FG1tb7rW2p6Fm6DhZ0MW2PCOVF0FDsLYT1UVOzY3MhLBv78132BZkPm
2qnMdhsPBTUfIFTBUjg+PgS4/7675mGuon6Y/nSOA3ByIjxsiXzvMEpe312p/lBnD+nA21Wn6CiJ
zUKcdqI+avjHSEIESYQv+VdvSyvEoRHWfN4jpgYnloNkzZGfcsXpQ0Ko2SSNc4FfyLzKHdeajrfQ
wWXDu5yujEFsYLIgw8CkVdQAbcbaf5PpfJs8pi9CUJBanEppWlzQEAO4PDA1TkoO/LwXNqg6vOWc
RUgrbIx6ZCfK5VY4/UslM1aMLPmAdaTWmb1PMo+QuYAD4JRPXdHdrztZFHC5w2ADQ0chH6XjpvcF
RUp+yodlIU5JJnTV1Bru5y7hlkTucZsmHkeAbH5Y+Cyld0qEe9/oZ3uGj6ZHaoo/FUsJTpnqWgvP
Pxo9IwAuGjnnJwBWDMW3HBtfcdh4UZq5TzUe0bXUmdNTIjiOVrurA+SwwGb6FDgPC8O9cz947KvJ
+Fy82elrDJ2CoI885C1OcJCl+p7ozdbIWbjGRD4nE2bfmP0Y13z6Cb9x69sTPqc4S3l97R+bRri0
dvAsatT6JgAJgibw6ftYO/AaMuDbK6lnI9MbBvJO9tSXecZTCQF7qV+5zP02El6lHIBoKOMRBA/7
Yl6qH9ly96S0zY1HC8TnMEWNQXmWYINIhhFORmBDlFq6Q6AVe+LrAhFguCbcQFZW1VOUHWj2sZqK
o+oIBhuJohSwypyt65R+ZLgBZcIewJjSdbKVwp/JkXE8sYyW+3LSNiiZBFS8IgbkgwBVmfgo8tbf
GNxu2JeKXSBUdut7sGGYXqmzQKPjXA0aNuAhH/J9i5EUhllXEkY3c4vP7ZcyFzYUXwA2LcASw72r
Q8jJ7n7Shu5A6oNDznj/PpIGgKQpCM9r23gCB0af1CloLFC5nYY8Sq+RtnwYlvkR+wCzzeFevjcl
F5LtG5zFj1ptxjvPGX68oed4lY771ElJB2ufOvasncaZNJyBJ6308ewQXdoW9lnVeX6w3Q2pdlw1
anqZNCyfRXmrSnbpxJsS7IM9hj3uXWUSlbBBQ4ROO2T/Pyf+iPNGmnpIKolSkma6DBAIN5Wk7qJo
j1ZQPCxjdpV2kmxmq3oh4pfcVAbyZ9HgzpRWT7a2KUEqd6qJ2okjZk/iDLfEXbMd+N6DN49s5SaH
Hb8el5JSJe8Dqti6l8HHyDDLpqN2nfXw9Rh4niQXR6dTXmT2dEfEwESYT97atjfRm2K5Bk/3ZJqx
dhMst+C31XtC2oXr1bwZkU97J3jB08tBm3bl0Ec5SAz1GVssT1imJum/u/oIeco0nxwpH/GQP2pO
fa0gcXEkGO6v/UmW1oPWOlhYYhzOPAW4L0PP1V/gxbKVzvGJ9xEkANkOWD7AZsm35+6TWyN5FLm6
jQG7q4Cl6yY9WQCsDPcmTmiIHvsIZMbZa1AyMarMgbbhpik3FRsb/Zilepv5zZDINeidZEzPJKkC
KoJvTQfqrzR9ndHzeDAYb25sj/Ukt4V2Jv93qgqj2owK0u5Q284JSJy28U2P9D4paLQFc+ekw0MM
jgscUbfOuu7SLGffCZMKW5JGvyssQv+c6dlwAMiACEOEfRIlSQjr2wM5e0JXikq7pbPGKg5GJduI
er+U+SojAkg5aQC9uatJ/WucEZX/SjwUxHnMqL1z+xM9oCs7KW30KHbhxqZlAHTZtgRZBqHCRHhG
ARxkOa2QvNUmLXU6VrETDtWDsdBAZ3AQ6bLiZcjyetfrSLN438Eao5kGXvvMXIgm4hwkEr2aJM4g
c8SW2Htppa+6kqeuyExKoAv4zdZBqnzfVwGqIIHDGbLDvkPJzqlqwSJFVFan08g1yNN74IJHsyeL
lywoXfQNt36RhA3SDxqk7g2koEh6uQXaFD8uZ02v6yNUC8zaxs4f1EcdLPNRcZYO9KZ69HsePzJO
bStghk1EDxy72QqNDpMlpulAsx81wkRDz0Bi6mJ3xWRjBEzFsEgVnD/9zCYDO+k2FKqa5yF3d5IG
HIpue1jolIBO/NWVQVHTDHSbhBi7GzVW1TIFXK+ggBuOuZEdLX2MG/JtbozPmdn9CC5uJ1/SAaTN
e78zIbVzitlYUm05mpN/KSVNufO3x9o4c20g2rm/G4NMA5oZqiUr5JhvJ1FQL1dn3H1GBGhADoK9
EDdgd2JeH+v5V2FY9CHkix0Sr0gi0Cp/mMcLHkzK13Nm7/BJLY+aLVmf56m8NdRkvIJGBiY16Gsk
k/pidhYwgjqTG+HoQcTwjWMMatgT1YbrDmBJg8C5J+eVhaNHOIKpxVVWrM89Roa1zPE7iT544Nx6
nvr5g0rXSDeMtzGX7saoSpyrIg99h/7dvg842VTX2Uy+tZp3WXMtKHbZG2fJewv9DDuqTnc4vDbi
HmFhs0NRw51CmQiQewfTh83oAvxa1rX4ERh0ErLLd4KQJR8rchx65SoWOGaAaifPxmtexujlnEwC
2YZdQyLNGeoL4jmfxrzedCaRDJexQ+o+DUP5t4z8quDxQvsZUICJGc6u8zh07icwrvUAz2Li3suV
mQggo4iVQSF7qGuAvof0TrVbaSmFJHPn/Va6eWB8pcCWcitBkg6E/+W3OLTuH5hRs7/APP9qJ+3R
9PtPZaEQEBXEVDBKtVYUbc1jejGCW6G31omCvnIPUe8TW+VBGM30gXyzlvercGN79nOePtCrgB0/
sSTM9qrd5RZohoapJj7C+FGM/EzMTpwLeSznXmZNRm55sTgNEZi/v4wTLe4wnpajzTWCkLbWrvAl
aDeN6qO8YEnlKLdnEuPvva6OisrCllil0/nvv6GQTudB9p8aha67//zNxBxN6jMIGSNbeRf9fjEq
ODuM9vKboJ1zyERdRvFAHtSe+uRRpiNkdFO10CexkFRQrQCQHHtucdtpQWg0OiBXdc3lqPP14ZZM
3XiLiVZhdd8UMnlWwuvP1bIZM6qaTZz8NjHRXN/5kmmY2Y9UihmHhCrgo2kV2TUo6J3QvMWnpdE0
EZ94Oqd5mRgjk9EgDM78d0TxtNIJLMz95NGN6c4uO6q7iHNieAIOpZnXqcuSk8j7c1+35hWbPZ7J
mabDxPnqyQhsB33YekptvNgxI4DMWwIu8AYYKJMpoXSQ6esAuhn36rgJCp4F1PINQs25ritQkDh+
HNzLjrRYIMcGijug5DHAgm2q0n1Ik+UlwyB7qbUge+wSVlCmPfY4mVS8M8fiTUDEYF7EW9F/MRPc
a5VLL2/xmRV2GTkTjq/BwRtpIMV2ZWriEoSAlc8c4vJieOq6/F1jSuMTKOKVQY3Osvm77Ti5O035
MmMwgvkC0nk2mMjA1CZhHZlxH++zRj9kWh3WDRUILV7ELJBp5ADXZnvyIK9jVq9gjkT31gu99i6p
YhPJXiFgYniwiFOP+viojVyh02b0WBOrsOuPjoUzFyKhXDfTc9NYFt2/xBMHqKV+MLxkxqAiS9kj
PmCJOaIhwE4YaHnA2QSFtbzYrnJW1K5lUaYP76nKb20+dhFTtnMsg2xHcwFx0EZxqC7GQ/xrVnG8
peWUxGC/VBiFBLDgwHr2rKU5Eu7U/ewpUca0Ybm9h3wMujl6C7ScGrY01D+D3HnKHUJ8MLowwI7M
M6mneRQ+r7mmGqYGJvwGCtOL00JTfJiRDjgli4OX0AOgL8WJc2p8nTxvDC30I4IDDIG1Zk2X6a8x
bYtbxc1zxDw+kurfjYt+nchqhoZLZawFJBSBi8x6Vlxoj+GMWUyAdkDv5572yvSfy1sTBCE1K+u2
mINVWYFHbFnVENN0AYE4c6KGaz9VJaMgEVKHyYREUlK6gSdweCCWAsIwqb5FMDB9RT2b/YVwPVIo
3jzSQRo3DgG5a2sIbBVjuXEIoa0Qu1VEUL4LHcPINiA3uFghG+G2xtfPNd+A9YG6S9oLnBT+CX1y
N15udKe/XzqIGFFeVmhW5KdXtWDSVbdUR43ZeFhEt+f436HDcr0lzL6RQfI5NOBITPIwK7OQBMI+
c6qHvhIvPjAOvrSTJEddDe8YCPL7UXM7BKBhJ74Pw8q/ekMDaMJlf1MEub3tRD6c1fghElSQPpjp
alZbPZGUJ3blwFnGhCcvFapHd+jc0qF0hsG+n8MByceVz00ZSvd5HvvgSY3xH292owxVehVYuRvp
NkWWwvvqWqzbbqF3WwJ2XL7cbiLis7QUbWC1XcGMZUqwUOKkaZhk5cjDT9VUB4tgstKzgZC9Fomp
wlyzOUUEfEay5bZQ2LiJ+3KrwzTe1Bm+nhYyOyUVGCVLqkCituaXsxxYKVGN84mDgulztC6r1tyw
DKMIOWgCExOu3MZBbOsfw9h5WGzabwJdj4s9acgG/ZNKYdhNQ/KmNQ72DXq3eFk32hj/8NJmmzrX
cL4KFfrUbxCwGJYnoSsbbdAmM5uWaKeSLGyMKLPXjddO9RonseXHo4kQ1p4ixGY4l04WT7nrodQP
dTgXVbJBoF9pnKZDmkoesopQqPTeF/PdsMUXADZ+yiZFAGBuszJlcPEyxgeMBWDFdV1EE/rZbNhh
7LEuV01VMhOlbIpxSCBQxq5pqt5pUWjDWkBST619HJC7oifh98B1bqULeW1F+kpo2qfTC33Q/Ryr
lFZaQRGErW1ZJRdgcEaDnLwZBzeasbhMtnmqAHG3i4zyWZ2Fnb7FGsqtHPgmC0cCjqZaeuWoxEZC
iY8JCIe1VqjPGp1mVXdX30LGKiUGA7AeLmGAjmkAZiKiCxfnTo2gnoTUkw0LE6qULuU5aakIaRBR
uSHs8rpbE1lBjFLiIBINRgWi0kiLkPDbVzd4cekUpOolGegLtMaFnVsXa+rEn2HDRINH1a2ley4i
gr6vku5Yes5bsfjHohO4bMuw0geiQ9pRtMutVv75PhACF71yKclCa/PgcGjyw3SNtzgXtJkYvloL
q6VDAduMpxORNuSqDSLXqO9c/zUUOXp1tfY45UyYmYTRdLhReg9xBCe47SdfwlMEDkg6aVN3CbBK
F263WXREURAsz5mOzaym45htjtQWwdo99VE7mVEjRZmn8KazwEfC5I0+CcP67s1bUZbn3mhOQLo5
QF59/vzUkpFR6NCIHWuTg4rEXHMx8Qmlc7kvPEGvw0L+HIh2VA8Gsz90zyDjb/YL0hvT3W8D5ADf
RrH3hJGvSK98NEFMyW9M5/aaU284oG+ypfBYY4DlXGo6r0t3B5T8svTYomoV42xsEfQeQYiYnn4u
7vPMuuuZaHHD7nSDq7G+6xbu0+yJ+2Bwt3mM/qVTb5xl43XM2gflpS86IUeiJ7QuKw17d/loQvhh
WU9OI6USfTU9QpfL7x4XueKTzqAIbKnsk30Ok6XTCA+RdgSWUl+bweVGr/Wfoh2zS7/Ae1sG0g+F
PUnKNOLPye7k0fWsI3OX6nngu4nmpM3WC7nswfCHw+RwepporN93urix5DMJku5rVfvLwaLcLxO0
BS6u9VVawtyK3ibBMLQH+h64Gw181xUQHM8pzrRYqZBt6j61JJD3PDDasKeEC5bg5l/uGibBvLot
mqxdHReDCeUwbZOSA+mcTF8SiCDXrsVYl01bcV7Bn74BaYtPGELDlkCVGSVYX8Ku20/uG80Wyc6a
VH2w5hHdEd72PRH80pHwiprRyF/6VP+EJmqGbYdlDl4RZgSvE6RU/Ocayg2cW0F5BHlgL6d3mNIR
jaSSQcwIbuN67mPiH4G82NPvmo7VJ4PYCPaABW4pwyuqslzYTMTgfB8p18E+mS36ue8ncQkYbsxm
diN/59D7bTLPxMUGDQiTQn3F8gSzaMzML9+mjJyau4cgcSoiTi2eNXmV3PuO3roUukRd6DJkr1Zs
a5M7OJXDxPzgAG/grckjFG6VgUYqGEggLYp9vCRbLsZaRM/uM6Nq7WEA2+LWkmiOWlzcemIlncx4
KAPcqBavSjNTAJIXLDFkQNpu6c+0fwA9z7DW908QUIejTLgcNozcsxwCEj4fbI7lOCE+NMbWzZfi
RPabg4HbF4d77gmnOBSJzt9UHs+dZhjdAfyLQmPDKu/ZARVBFham6k9WlgfoOBnPpviaUv/bs8W+
RvVixFs/OfoYEaoI7VHlq5JoDo1d/rklYdEE5hZvBHemBOOLbuwVGxJD6xfpIiM1p+p+75cgwNzj
qC8EaN1X+rCnuYApUt80B18BLgHnMqUIqzPTDk8MoUTz2tqVnaytNCGN8KYsDHy5B6AMhNmNRqno
rzt1ErZO9ghV1RbFrzYz9sBrzklP/Ro9tuUa7tRvs1mcTd14xcY1BNOLckxJII8hnnaSJH3PIkIq
rZ5oToC5RONMj63HZJ7gwPFY04udRHAsiZ1l8s+cN9xI0xIIjIUBL4PttLQ7TQxF5DpknxtdTlQe
fjXF7O0cLpArN+05EOJneHEyHjhjKMPempP3ZBzfnI6JK9VINy8Tm7oIRMQQl6M3ybKNbmSM+DlY
157lP4AF88IGOXhPljWkwm5b5ObyhD+NO6Tb/FCmUe+0oSF1e9dderbQzMr3/1/4hGfxLeuu/tP/
dyLhX8rg93/gCv8Xee9pkbXgQv7fzfc7Uf76phvkn/6nctp/+5//zYjv+f8ggGy4Dp552w5Mg8bb
f2+ndf5BCsi3DR0GqAHtkN+patmn//LPlvUP03F8Gm29/4QZWvo/LI9AYwDR0PFM03X/nyz4f1mF
dTEndbX/+Zd/prXCMgPHRkIhgs33haP/vyVQU5P8XG7SngDxBB/z4jZIhn3efrc96bGga7mqeD6x
KT/GGteSfgt8KNZ+kAKgF53aYjKsTrUV6PBR1XIOqJCOEPW820SXzaedLTZz10QVu7kFPTwttOXB
zC9eLBd/J6FmPKTghOY3e5nmrT6IdpeCCsDfYXsHZsjBT66BvFil6RxHUosHrJpeijmsM8WLZzjx
i0jz6h2JAElfUHWfFFQhyLoNZytR71Y/DLht9CrqpnZYow5jahf+Ffen2rA51LuafPjak06wzuTd
jgRIAdPVFEHp6uGzTqmxKi13joBXgxZfYtG8jEtd/8argU6Rq+7Anv28dHrwBqHdf7C81ub+x7Vx
b7p1bHFdpIB+VfRSeps4JaLOhJruVn9mQEGGv32nLHs6sI/2BwPUEj00VzDR6t3E002BGvcjYkfm
VwEyfo8e67EPL7oDf9rwr4FdmjgIgHMcW9HZp4UJzJNr4PyjlJSSKK50pKa6LF/Omk5TW03c9Oxq
qt7JxXteCu1QGsJjzNWlyIOxW1QHmQmGMwytfqiVA2ZmTFgal8IfttjkvNCQqaAXVGu/NDyzgAU4
tdHZq7+PnGZWLW0zO7ammlLAmQVNK8ezt2AAt7XRiax5ek7ARLKUM7Yk/NkEWIUmKjXS7iXDVL5y
wHQ/EyCH9O4Hn7VjVR+lm2v7ARYReTevvIqiyLxQ+qkCxN8z9BJAd73U/sEMj1dpCsZN6aS/PWEm
Lyl9p8vKMEDpEHZeOfGYnJueci0FNuLHYXjwMo1GgmnaWHA1FLW589PYfeY0w0Vg9tvumJcwnCy4
K4+VrgMtcCmo5NqG7+6Hc/YVGBNi+EDP/NBkJp1Tc4mWR0h2WDgmg5DoVpbpzm+uyUcY92Xx4gwu
fn08RbfWnJwt7oHhBdN18ez2puCvC9TNCgDgLzZ4qACMYLSACXv3Sc69Drg0tjWAkm1HIWu9lOlm
InP1YtCLgO2gAiSFXXltgNp5B+FPiDbNkgtAQ+fKC+6zbRnDif4Qe0tRUBpBDFFnHv47jMqFK2wY
YZ/zUUUg9QhHytPioUx4pVN990rjB/0vS+X/gOB1/49ObIMIkmH4gDhwQweOf08H/Zf0+6z1tg62
TI/oNRkQWJz2xEjfX/PK1x8jPWofvZMPx6AuKiAcnfiE9cbR32WN3RcaCLDQtkrqlFwlx3f+e/nH
TD3vSclJYsK7FwsB6Mm54BjjHalNicDk9rtp5FKJMV1FE21QV5Ul8Q4vjr12BhvDKWGVE+jwNqQq
HvzZwPTsQ9C+NDHztXP+SJVna/qFMuS2lDuoP+uvLsCAnxndbgs+vfoysciSPOpFpGt6gHGkHQk3
99Nrrcl4T4UtuAiWipOGpXLXNiVwj2m85zOD3t9YNOrtRKywMarWFLfS6BlCKfpNNzAY2udUxNAa
8gJX8VSIcj2aKLt+R9UfJ8FlX8Cz7GFJzM2dNFE+9aZjrKUJaJFIdWX/SbRafdDim1O6YMLIGDpu
V8PkouhR+/Mnxb3JZRNNaWm18dlPHONnSTTxWtN09MH/7F3ttvSufu6MB32BQ8JIFhGIvvAbZHCa
QdjbwtbvJnp75yp4FP2YPkyqzC8jOlPLHNsQUcqJe91YA4b6JmluM2/VWsftHTkkfr/LWHOe65ZB
dcgl2bpaFSc6EITadqJXDNMRt49bZjf8K13P/0remexIjmRZ9ldy2b1ggCKkcNjUQufBdLDZ3DeE
+cR5Fo5f34ee0VUZWdWJrl0DDSQMEenh5uaqVPLJffeeG+3NqCUrH3rOAzdcFkBw6O6umtpm1bie
RU23U5srZeOeg2KV3btB4fEz6/huknru9yMc8INwLOfctcKAhVVimYaX8WFFDgRJ0Hu89ZmJgJEP
hK3dybc2HsL/k0fR+LWWVokokAoEUFAO7hbDRHurXAvTmS0GbsSsQxfluc39L13VDr9UW6BXRBl1
jLwx9oihyy9vygMDOtPo+qiYBfedqsVz0bO8gYoTZMSqft82UgdQAkkJ6huxVfGnw4wxDq6cUTFK
GUcVCL+peJQANb/Q+RFW24lo2q2tMjtYQtQ48E2z0dW5o4SP4AvnJLoEm4meUjorv6Um7VurbKQl
YGWZetrW3eJzq3QOhwznEAe/1Iw2DPj1wcMwtdjPvFyuC4VNt9VF1aw8EbQnh6LOga4qxz8ZyzNl
gr2GpQe+ewxGxnTA4ZjIc9yU5vMIJmiT+cZ49H0+iWnP0dJnj3pCG7fvKmfsdSq7OxbwivFuuoUg
gmPBv9GlvhDalu+R5abVvmkRnGg2EL9q29f3MRvU9zgxhttszOGb0SX6WfJTOOseuNgTNxLILXgK
4xsb2sHDGhRZV8ewOhyAdUpKpWWnO9iSkz9TmLqzYI5OFQeGq+56uAcVQdhvZpWw4ebcd55c4X6k
VPbs4nCAD+eGnrdNCIcfqTuEdIsxp38J6cZkk9kinBRDPr/MvWXtqNKxn8G1OPfRZ40ODtZc4olz
8l6aTXYkYYHhveoEXIUwVJcgL4uDL1u1bT3JWOGPSYu5GQUQECyxbKq2WX54E2vxCHMhaMgAiGFt
2LcQ7schRlPgyemELq3EghdvcmO19zNJ8cc0SevEsjM9p8bkHXHnNXc3M9hl+ELnWwpQ5jsymfkF
3nLy7M3JcOrZap6jWbRAmWzPeQw6c3jNAipGJi/Bpmk1+WKyNNVHviSGF37yxjOlc4jAmR6iQnQo
o+RNZOVH6Jeuxikz1c0tEAYXlEU1/Ip+0PEyTUWHoS1xH6cYXq0erGktIne4sjtAt20xxGBOKaFX
EulMd8qS5kfZpvapTKxsp1NrekcVMajtnDE7DgC0th4TF+4pk6RplFubrvYbjFKTsThVrXzLROid
RwhGVHPEDR1Qegl7T5CWZLVMksKu5Aebk2kbFSHkIx4I70FrNj9TXVubpKbjZGZy4QkkiD0mbvUt
oZTlqB2DRe4i8Rtc2jfCv4hWCsJjvDV7TqLwhwM174K6H756WE9ezCBVIAW8aA8lfzhWWln7WBvB
pbSBD1LsMSJbErmeGHRfaCnAtTcMCcWLonpV2iEHGztW/qOlqW+vMj9/siFFPiZxisZIyVdAUTO9
6k8w9uULz/v2PIQuWfPazGxjFRJBvxY15VnctwtYEbnpgKbL03wX8PLuUK6zA7qPT915oJx44wm/
fwCjO370ApJT4FYN1OMi56OAlWbss+A4dF5yLgTefLPGmm0bGApWee2rPUWO6bGv5mEvec7sVZzR
VOU6i3iTymSL06h7zgPS/yTNEZ3SIRofRjE1OzCy3cU0Mw87A69sHxve8srQNQMLC1Q4UTbiaFnH
lQIloz6EJNXfwoxAO8M5zW5Hy4n6ap0qhzrkOXevAvLrzujY3JKVxyKuZL2lH4V6+cga92bn0Mc4
ZuYbde9L07W0W+L4OfsrW1aPVTGUdLOGsSL4WkQ20on0kD9jOb0Ixy3LjatzQKcYULrneCZtEhpT
+cyyjwqtbojBB9i68cCjgTd9JomiXkxT1rdygDtup98CmNZT6NiHoWaSWU+dDKJLXRrk6BKzvWRl
Ub6PXlw95lriWs2NwCAbNbnvBE66awRicE8l8nDpy8ojidn6T42iwQVbxLLQTHNG4RZL06GCIHob
ZkzJWVRUH2PNA3iiluUck8imJZEmwb0XmTb3rKqxv3RTnbwVY5hucNXYx9YwIS2MbfTgZACWqVei
WQ4zGWuAlvRREh7jonvJaLRBUJ1oAUoq54mhLMYDONsBlSmGueG3A4+haDx+oo2KbmtAECYSK1CU
ESvopTcVRiWdz/1PHC7dliNSxSOpip4hWvI8lq46EdQdSEV33oO2ANuWOh1uvpGYa8+ZaJalZJ69
JwR8CgWx9TzV4ziegU92axGo5hdFTOWuaBuysCHEz8wro4sSKWulyKyRUY0mfa5Dlkt9pZOPup9U
yPocPkW5fIRX2oytWyr9gnmVZrnUbru9lZTWTZcFXhiS79khcuv401AzG7R2yipcHGwsMSra8kiV
rBUD704ceFRZSbN7HxbQxRsQufsxodNtKsjEExxxv+tCMHK0mue1ARgFHD8iemHWSyUInZjULgF/
GYZ6YCFF0aifWvqW4rY+dfyQN+6l5jZTJJPBlOIidpg5TYlBtEq84k7Vdc76Qmpc4+CUaJaft/Go
SAXK2AUdFiQaf9uQP0QlRbBmTY8KimNiF1uaUQh/GnNQwKxyvPFNO4rOzcQwvWfDCeNTqabq1Qb3
erZjxcprcjiBKKe13oQTTuts9NQ7jli2KfxwB3iL80bBcjtUg+kd6q4N0O2H2N/lbUpDTgCnJwcM
+qzrPL9rAxdBTGzkoMTCS3Gjt9pUCpO8zp7FxIPPbgbjAdGmfJNwoTjpcR5nz+gn3/71Wee/kFn+
etSx/nrUkW42V4PHsqBpfVDpNlYDya6vH4AbhPyYB87FTCYE6Ds1s57KoMPKZf781z/HP/MWFrWH
vZTnOgo7MIrTX3+MuRL+PFuoPaZBRNmb4Z/yVv3+M/5sFfnzYEfNyD+WkPzTv/7b/50U+FLm/O+f
1cK/tJv8v1FnIpTl8479n4XA0ydw8r99Fj/+dv5sWdI2f/sfrf7UP//nP5I5/vwufyqCzh8uRDTO
8oI3xROUkvxvRdD6w3UYbYRrm4vA9w9oDsv+g+kITRA6hw9Ow4Pn0eJzXMRC+QdmTSlQEm3LdBxb
/Hd0QUst5I3/0AWNpY/FdhyWj3+9QgrZhVhUWirv5Sh3zCjirbaj6sSNuL9WdupQw87A8dXLFLaJ
rk+jHaBgBmByukcm1BqzsauuDsSvTW4Ic1uMicmptETZ9oKEx570cnej5DjufHdkVRmRprVq4EYD
Oz24T2Rgc8ljPC4ltNtlCJCLjXceHAYDbBMApWT6rmbDQIUkW2K10Cozj0i7H/r+sZhZDlvLzJEX
sLVztu/sG2LxxV9mE3QhNiuE6BlZ4nT0d1ghF0sFEw1c+uJ9GEL6qyFlpN+H0cFuXXjMQSaDDFtl
zWlSLYMSAZjyaQStZgNbDpiksMWVL/Pcjre0you9u6SNpkWUGkAWIxJlH0YBFql0WdBPv4c0x3O6
l8SJR5getb5A7JNnNVYTWysnOppsCvek/uK9WOa/1I2mly7lo31uw5YVKBEhxqAxrThRg+/StI7Y
BN8X72tpDMFZLQOnnc490pokXrGMo8kymPrLiFomFJyJAmBnoOHomcsoO2Uif/MkWceVm+U8QDO8
3muPVKdmNCiCcBe5XkqHQRVHeuV4mpOMYeTsjLUKbAOYRB7dG6VSstc+ACU4rQPeWVOox4F9/W32
xvFV2r2/dvHGnLl+y898Gl22vVajIQSNxiFNAvloYfshcRp38qmvxHg1snIG95Fm1qNBoJcTpl9X
4WveLrWcbUxxAQVULd+nJKgUULkhUnSzOroryclUVA1TTVmVAw4vl5DHEtGp1rSGqTNtTups893k
vUnM8rOj0B4eCtaeGFnEmV5gURT7Wc3mRxRX2Hw0TPrtVME2xgvsQy/tRcQfD7SPEGyAWvPkUlb6
6Ztd6uE9UOoM4Q/CiZNPTvIAq2G8K1cPNFH6FNPvUrILrx2gmQfMAKyZU23gyuQBGXUX4eYGzuqs
s9wNzpCoPXIuGhnxWDuNpNaLUO90YZMDDmzlPNQO5OqVqbK8OaLo1W+Sfp3dZCnvGZyFoINC2zok
jD9hNdGthwhtBp2UK9sc8JeVrgf3io5l+jhFyOYPIVEB3cnp40FZ6pYG9dj42RtifsajhBMlTkPD
OXNrWgKPehZ8RjPoHsuPCo1AhsRDJPPmt6BzWoKvnQD1WNpO8Ny4dfnmN5Y93OuxnC6W0dS/MAMM
N4d6BBJpDGF73U8AEgiODDuDoKO1MmspuCPImB8ZJlAdk5TysK03fS0xCTeK24dhtSGkfiiT5iHg
dQ5WltGH0bpufIuOMdSEYkG+ceuqh/YJiwHAaZNXOTp7UJkBjNWDdelVZqlV6mWa0RsKyVMBmToD
za9nZi3AzSCZa2Uex8aAn8pHosM7NtfuWVeN9RolY/YKibQECitrKghysPE088DsTIHyaDrpawNX
I/q884aENH8iO7jvfPT6K0qQ9zw1UGC6IaMwO6285iGkIID6qE6MOCbCaem0tspfiY8XYC3MSd1D
nKmIF/3gPuaj5T5kDZZHgtTuVTaz8RRgrNSrEfLxdfTFcNNRT/rRiYMfcdMadOH44WsQabUTNfPb
ism5+WkqK46u0u3nTxO14Nh1tbrqdDZJtqSw/ook0oeGRsYtwDYDOaMrrm2Lz1S2YbKr5QCsJK7C
LxXlPreAeO0xoc55a/ozp/PUqq5mB5tmFfJbnq0es2fkUThd5IJx3OTXIJFZ4bNda2p1KdNqv8ra
G46TH2FN6hBsXGATYfopAQw2JJpkeJtr5DdsQ3HyQDkhZ+jGsY50hZomi4KQ4g4PWkifmwMJRbPb
N3NMyr+q8+9G1sTHWISwyitjfnRzoCkUjCS41zywxKGuX4OBW3YbxfMp7uJqR+bEuKsA8djwAvel
Tfz+TrOddZgp59h0dKedy4tnOFe2SsWxxfK8HeeWHmY3cdwHf5bh3yfL/6+nLcaYf9ked/5sCirr
0s+/TFd//13/vm9VSjq+I4myMCzYDLp/7lvtP0x2pw6oz+XLP4LPhPeHraimMH9vQ11+179PV0L8
wbJV+D57Upt/cLz/znT1n04DwNg8Vyo0ZZ7mCE3/tHR1WmVUruaZrFp1mIrp5gTpL+EVu16nG4gN
23bqNpbzbM3ZR40Y8PcJnYE8/Fn+F5sX6Yu/jnfLaMfIKZTw6G+GDPf71/9h9RJG3GydOeu2Gg5Y
aIH6VDxeLtiSTPIIol2P2uMjlXZfp4DmdA+C2r7BEGOWfCaw9eRbI4F5EyfqM8mVe+HQgQevzS5j
ZMtLpaS9dusUAjbllftI48pSVliRuM/lznX9nyUGdAxG2cAN4zVGB/ziJ/o94UPyuPwD+vqMlmki
mpnuLVKsUQlE7sImkx9JDylKP9vV0DxU+Xjivt6d4kysczV4ex5UP1iAfkzMydcy1y07xYV8XUen
MicjxrPiGKv6ibL0meabdu2g2l8cqwL8X4ijNfTZ+fcX2jEIfyGpBrX4ZbX9rm/lj5JuPiLlo/Wt
zUD52N5WRZ8e7cGbyimdTefFett0yVOnkPzFEO0a6mBR7grI3TOoMnIojmSxzekeu68P1CDM+40d
9MGuqcIro1S41UJV69GcHmj2I/ol4CRAQ+HWaJW7wQJzQjehIDSXsembo4NoxYkFXyAYy4asWoyt
rMRk0K10iPvSZf8H4cvLoMbic8XQOtRiBRzb3ybtrEjeAncLaMqjzMc2EnvjXB2tAFNmBAG6+Dbj
jQIM/IDwjGZTul2C9L3OVNYf7VHcUdUIeTRvoVc1W5avG2reuaNXI87eUZ3dpuAAYNOO3CVA/quv
lg6vpoNk5+uJ+S4oD6DaEFPwRa+YnD+HwcME3LJ9baAZsDFAXIgy2tcw3xk9/1Hkci/FVn+B9vfo
ZyV6ejTgRAtbVt4Dr/ESFui48T7YcQ2vt1fnEE7UqWnEp0xwgie21W38aBpXrIWyteOgDNdv9H8e
tMzofPB2aQtZyyFNNzt7Lx2Zc3vvF2s3AodJvU3TgOphlYqj28Ahd5bzhbDMqxP5F2RfrjW6NIJS
flLnezYc8xP8FiMLrAV51Gp5lRY8bkXSimqQhdLDix1mzjtO9AU7hZmthIVtxPeMeBYPYLSL7cDY
vpaamGqWqTPR534nKo4BZn7zBB1LNJ/t5dR9BcfBNN8kG1X1eJkyfJBZsgcbHa/yAPQTUvt3gkkJ
XYfJW2fZelWSWZ5Yc1ap2LAihQBlez9CLLutqEh4EnjCbKE3IiFYMpDVP7oAkzEh01WCkih3uRd8
U1aHMlxY28BDLMzjdwED/IGKNz+BxjT7L7XWDxlsV8sjpi3rbCP5+0Brg5vGQgrkD+7uU50MTMq9
/UO3xZnOsQqTsUnTHWsqpFcA3SEMJSuD/yfI1hg2Vr8xdX+M8fAqI5HgSWjRn41tO0PRYjHZ7SYu
wZu5fKllTQkLPr5m7k6NT0MIOx5K+BhGelVQcXaUI33KLctLrA7Y1IOR0OZ74vhruiTsk2fGD1XZ
to9SWi3i+VRwGmxIAbteuLa8sj50hF5Z8MdEhHP9VNUXq4m9awYBeEdJKPugCFRxN3bDjv7hkTX3
+BaQfDlFKvve0W65amj33HGUw/ZXmv1R2hlW7rT/mbroseAbrLXuhfEG7kgaBDrU9JSBFOOYuOyt
y5JKhwq8k7SuQewfIVcRfJume9OMPwdAxlTsxuXObekkVPyb7VvJxQGosKZ65s0iP/biiGKV+1FA
fUJrn/JaPTuVRrznzu3Z7XQZ62vTGP5THOyrKij2QSJI2ZOA3EcRKUO6ljKiDhJKXSgOwKXm8zyR
0sQSHkMdPmQ2lssOZPnONdzwmNuKHi4z3Da2zh5nvG1XDZtn5Y41bz5qpds16Zl1/R3TqYcMYTzW
PlU0WDnRh8E6a+SJx6j67HRdHpy+bi4JgTkEYCO8GKnfnuVgnKB8uYAVOcH6SJeFVySPDrIrq8y8
OnZh8gw/RVxGIwjWsnCvHHWJNThWwceWbp4KPOdOOnH14Nb08qnlS8IdP8+j8FE2u6EN8iuNyAC0
TLWYpqK1GU3vpSqnd2/0xo1wqSJMe4gSyPen/KnnVxBoRfzQY8l8lVwqbK6IBlcGsYGqN57UQJLN
BZdd1i3u+TS38RBhV4WHBC1eNeWJouvgPS6aPWnrhPT4F8Uxe4M0EG8l1TerVNnNi+ow4ff513Zo
e+DPMjw03rwFOzQUQXqdqEBaT0aFBCkMffHNbVCawYPRlIuU25bxuSkczOzeejKr/ntBpQ39EE+N
mYt3ltTPPmoBpePz0SRG88hKaTWPlsQb7u4wl8MqbhKyGC8ynqgCUw7IFXh7lPsB7whTfZ5Kqc/U
2eEuky4hmgYawLZSFWmPNHuNBjYjvWOrVdfaekdotj///kJj9BRz+Xqq1zAooGoGHNhWKRbk0Csc
IlFnUSb2K/cb8RL5dH+cq6z1v7g2FhpAm1SehunLlDQXM3G/RL3pf2lw8TrsgSl8FzhxYtlcbOOn
9OmHrePy6o2KzbUsjoaef9BtwyRfKOeQJPFj6KDNizDf2myIF3AVdvzEFoRICJN4X+m73MxNFd0C
23om0B/flUPEOmkXxmUWE2OfNx5XJVug4SnicSzo2zx30/hUkA+A16mqQ9ByPMWIKs4gHKZVxD1+
mzsBykBGYqfnGONEaNWmnrGMAGap8iR7KLuLm4Lh52/mvI0+pQzkGSk2bTk6hdDbj7ZVfqZ+d2Z7
2b34rhYb7Kbphh4kdonLl8midtCK47PqouJSiKV3Rx2Gym5Po5c+EjQIPsLlw1Tn4Xmqsx/eONXn
YPky+cGBcBhQQ9usL6kM6kubf0aWgA0aoyXGlbtPgVLdavJ2K2gk+XmM4NP6BLAvcznRMVYG28bj
v89hCG0WqzV/HUNvBhWyxXBC5gCEvRsdgFWQr6XF4QpO7s1MgQIWtr0xs3zakhgcCWPH3tLUNx3a
3oZD3xDr6z3Ko2jgyU4+79iqg42y70j/bktJ+0hEM8LGaOJ0MxgeI7GAkpp7lUfhPdpCVVQ/baLH
j5JL4Ep0iFgUlMf9YKTUxhnWeJQJ0W7iyI+yF/ocTIl1GObpGxX1/glVhtiAMTibyk9/dgEBeM98
S9IufzUuzeD7L1Ry0mzqTem68wNunSmh2NFVz1M09w8lrHRmVmDi3Vwa61SY/WGMquuYROqlM3FO
16lbvPZj/17gCoHiBJEoEc14AujwJPMw2nTAclCyepqAxmHV2pxFTS965fyuzzBzmj36N5VUpCue
GqDKK23zl3OCDNc7dIqzCZmNKpvgmAvnx6A+pyardzMRCYFZCqd79MBUjJO/0ExpPHM2hcfsS18F
pn+2sIyp2UehrOZoWUG3NeHkVDw4RZriZ6D5YNUaw4G9vjo7kyevg/kRGPPwzJrbWNMydDOMSe61
5fpvyQxYfGiWZiw1fFNc3KDmpPzGh4/edqf8IoaBLM7fl9DTvpkEwfu875/aGLeHm5ms3atix0Ys
3rqd1a/9KrU3ZZp357C2gkfPoN0g9XiNykD0O9qO7kZIVQD0kpg6DlufDKs+VlV6LDPjpacX6TCa
pth71uITiJr4grz3bGZNd6/sZp3ZUrEoK8JzYyUEEXlM0LjYPnWl2Kcp6CmTqrUNmgi0/p7Cu0Tn
7B2t2Xw9UAhSM6gpNy2BhxLRL8wTCeIUQ1EYlfMzaJxXuFDBMSXQv2IawnGufOMaz6DfbLDLEMog
hQxTmJ/T0tu6/jCvbXuct6Jhp2ibFZDHOEwvAKbPdmnrY1yDfw017zZX7zY3o3gdAT86/8b+wp/H
caIDKAIiV9vO4ToTEdjaKR0+KQzjMkooXytd/xxVRnB1pBlck5z7SECAE5aCewy5963HwebUVkR0
ztHwejJ6CMhybN5E+jA7pT41teiPg54uZTsqlvGheJ09jorDEJmMuLp+Ill/9w15zjOXBXDJcaBX
AXNiFIidKXpKi5rIPVulIOpQnkdg3wvAINnO83ecYM1z2BFDton3bxeaPxThmTxK16NgDk60jVr1
UjWRfNWteeJ96Y5B53+3XhpcY/vE4HJA0DvMEcRSN5uy2yjPFan8iMETMkNzwA+F8Q1D7h1myrCl
YJuBrh+cFcUn5aboyOAFA4/8UKmCyEoUP9JjThdA8olDD0Rybom939FRgvRlProVSedSW7dJuylc
KAb2POzihzb0zE2uPEE2wehurWkBECgyvB41WAMLEMyeMWx4LhY6U0z31yk1snnVl0O274kGTRwg
ujKlMi+N3Qsx/Hk75jWrCdYrV57H62rBZbu2tk66wnuXGXWzzTN7OLruNegKDBxq2MJDK07gM3gH
Ku9EDaF5Kqr4I6dOKa4rjNqqo+d7iVkGyDSbWrjhwXH9Uz275cNMz9bRxlaHU0hTJt7Nx2YG0QTo
LwelUGb71AWmwX2keRzj98rx7EvLZTaGWr4NcXWacrf+USv32QqTbVPM7aUHff7Q9tkHsAHjaAz1
22SkzZF8aAqYsvNOhpe2a+bjW9CFM345DCtp6Pz081z+NOqXabIeQmm4t4BL7pkc0dcIxNpx9uMv
VZ7JEwugr4bhAS0RvVhOsN42yzAnS23/RBz42kcho3eCIVuEXnKNoHNvRoRZfjj3WKYDk9PwZE8D
awJOIW5msy6wSOi7VDL0DctoMtVPkujyboYoyHSAj7MX9dHuwvIUaILaEWlAr5XeuZyTkCCXpfFM
UYJjWyHTRMbmSfac3VJ7jLeAic/NnKZXqlXjLQHDbB0pM1zu1J9jO5oHntAPvhtmZ3NQyaXX9c8A
50iP3+Sxs2b1iDmSKCU8mbjWw0Fp7jUJN5KEHf9DZUQvNPQaF8poJG8qd6BCjK8Oumhpu3oPnb3b
GwJkzBB08Tnn2+yGufpRAEq+T3jI140FHCXtrX0t8/a1ceH4iHGfMuLtiy4Vb6EDTM8qDXZN0h9g
BYb5Wx4VrM1L847En4H38LyDZCex9LJSGAMu8SMf3RfdEbQERXmjbW1Elwf51aVYzKR/jwVXtEMT
jQaryacewHFl8PnL0ig/x2WMNNUD6FoknsQ0BPTZqj2EvcYLMYrqkIYzsaT8h9ay+uRPXyUo2d/b
KDmB5QmvTpbx6WYw2mOzL44Tbr56mBWha6xV4dg9KuAOo8CVFmDw3+uEIpZYeC6YzeiOAlh8Y6uw
uDUAbBK/2tlww+4ZaPENULQTKNpTJodzQBSP8DXRKr8AlJtEtBCA3zCHGm46x6EV8Oz3tC15dthU
m+hp4Qz4LbUl+kfL5pgw7oZAFydbgzcyNM194oSUNVbFS58QmQ2neZNH9VcPDXE9hoAJR0Hsk2jC
XUGWFU6JLBbX70Q9r0KFnyNtRcgSJLLbGOuwyoJLuAW8wzJgb9U4FGPSHL3OLTySdFpTxgRtblDO
Lqv7V8+wGVcpsMBSO2g6YBzajZHTSAW39a+yidql6vQmDAfLNPZRnpWclXFjxw/azT47s4cT0Mvq
aqMNeFWxHwBS7ayxyPAI2mqb8K23DWsg6BIT24GofXairDm6y+MpG42dtWAh2+o5ikzjUg3D9zgQ
2WsoLnjqzA1+0fGGafsYkwEjmI2hRfWGyzE1vNp29VYEFhHEgaNSXg3svOPwCK2DJU31YpOYpZLs
B/y2EB9+eJ55QfeaJrJta4IfYNNKj1fQM1vIloejF0UHoxm/G+lQ3Gp9565b8VQ56jbDoFIDTTB7
Km4WHIVlTWyk0unTCxyw423z5Ir6h65dzbtUgghyvWvE4vohHMXPcBj1NhPiRVMXzOOQQRoXMMzf
zNuNgk4e8j85cHM/veet1JuSnSzcQdmeWc+t+7ZBoC57ogU9p+GIfvNFyUw+LCdkoelTYs4FvfP8
xluNzeh/YBQKN7WZsJvHSryl/jM7ZTrM1yon5YblOaOZeAw2dgS8wnUZrYvYsPfIIzzL4ukqgty+
sQRSa2ZR73FS9NuTAqouIOs5s5fJD68F3WF36d3h0/yt5pLCsPQgWQWsdGOFaCjpqWa3+dLP01HR
r7UmI2dAb522lg1orIRoipmv5cRtT6dBemvgkvNpIHmwalMe4V31gtNOrHHfshl1kkdXvNpmXzz3
AVXrGTN63TGkQChRBzlSj0GquZFk2l1MYwlVeZeeJd2Wey8C+nPsLmMV9ZF06to7NfwC4mIB0vJ/
eFWMeZ6J2Z8SLl5ITjKvf4ZROD7k7RKUDb5lMRZ5W/cf6Lpgq4bGP0Go9aCLF/GjGP0JjDfZ9Lbu
qer1Su6OnuLmwKnxMuRwkVFWQzfBxRtl+6Ggs8GPsXqXTqf5SfIFQMMqOzZ7zHgyJo7p98muSQX+
vLa50zQKXkj1PvROcpIhxr2Vg39sk05huw2ATtP5ZsAQ68iAT0lyyJP5GThBdOZFCxdcDt9bOfnD
7y8JLEGu7/qoRSOO0i+JWvXphk/+16GZrTv0xF1ZC9Ly8ECjOT17Aq0ukuzX06Hs2Qan5gVeUNrR
sC5KUD0G6dF7K/0Pp0DhcGehHyLO0Lu+6vIVlIXoGk2UmoVu9550zUsyzU+4QmYyvyxXMCL4O3eE
K90aEhoUX3zfhU0TuMPq9/+ngZmvCqPj0ReG074OzG1LZcTNbKZ39iLVIbPaGyQk62lgH0zXQYNf
5MxoAJvXdL5r3u9dY/f1MZrKE+SHeDVLmV9VQPlkMFoPJH2BZFUiOtWAWs6tTzrYcyBVz2OHZuvo
4NprG/4Ld5VHPLj2ptYiP47K/bCmaLiVExUlZVg8yxqOC90Z8dopw+EZkXzaOuHF7gT1YTwIyKYT
rZ7pkcEL++nPbHt15C6ou551ZgC21XGyW0sf92bEobttoezdQ+5aRlPA9A8a4s2y+hphdr6D78nW
Dbj9fSonFuAmDX8bSx/NoJkfkiT3ONyxP9eTwd0lMdjyetl8IysSYAtK8O+csq5svjczPM8qCy9m
0Ypnp4Dw2ZRefKSqalwRAZOHhO7hHToC6R8zpAWAR7BSYfBzcLtP6krRfLuSP76jbiOvHMZ4a1Ds
YGyqC/IJiFZR5vcxoHNhbKd7SM/dYnn+KGydH3sxeWtAjuox5VMrCwqHusm6WXX6mXvF1SffXo+A
AqwhfjUntt5dyfnMCmhfLbFy5y1l6hhrmgmYbFT38443qRFNv5odl3aKud6yiBdbC5/ueoDss6t7
7L+23Fk0RWaGtHZOYjVr5fNRjZsqo05WreYuTzbCyj6r3go5GBT7MPSf52DqEJqIO6Z94eH94Vad
N75zrpoeAJZlf2R15F6QfujSFtaLmamFpZQgAOX2CpMtFtzFU1iEFdhM3OFMLOF4rdJacdZs6xOc
Urb63FF6YEqHsOXiDwH24fPO610TQUaoC7+4Q90mv96N76WnOIf4gQn2JdYvPYnX3WhqeJyudQ88
ytmGQeoTgMHvNZjmMzLmqnH66mSF/4u68+iRW0mz6C9igz7IbXqfWd5siCqVRBMM2qD99XNS3Rj0
AIPBzHI2iafX/aRSJjPMd+899zUmwH0rJma7uTi6wmsvnDnG5yk9tIYfbGf+SMS1+jEI4n7ZN5bB
FAG1KeuLbJ8liie6YG4U9E7zmPt0LCYSArXnF8+qiI5O5O9UpTrw6m69MfqSGR5hBFKS6DjOAPso
hsR1MEOzgc4EmCFjXrwySG2uXBGBPWZrQ2Ex9qS7yk3pa+MY24TSqGRY2oE0X8O6p+zErC/tEISn
CnyhK835JU2jZUCH1YrEJADryR2eAzzImKGXRLSrp9kCNk6rYLBJmnuroZiJbdMmX8/9ujK67nF0
3V1qNc3VVnm7ppp2OYJq3JAnlfvctJ8nSVsBbU3Y3SWbDqXaJ06Y1lG3P9VomdvWulU1om2XW95b
yG5PmxQQosxKOWOPHEibfPLWAmNDEcbVLeQck2lruAFjf0sy098yfzU4tNcpNi/cHT30MehHbb6m
ZVscEohAgiFAYFrpkbwUN5K2uaY4uv3MHi8jz7gzVBkLHLzV3NMIhmF7AXkVQFzO8oWGZi+1DI9N
xOjcGoC3QYptDp5Zf8YMdLctebqV1WLodpB1KsOiDZVcB57kx7jujXdhRWsFeaXiNpz4+kG62GdH
AkRloA+uohuSOegFrAvMi6zWoE06bxs3Jq1aiXP3cSU0sHhQktOh0ltjHGnNJal0zE2uubOmANoo
gy1P9Dsesgbd1Rxuic3jRYRra7JKnGlf+crA0R4cX40cparyixKxuB/UdmjUvGJKr7lRG8OFyeEE
ivW9K/L2mdNwvyHJhrAtv/NZuacAlXNJ4RHUaRKB22HivKq9W95Z1es8HnoB1TAuZ325j3AzWbAU
2iLZib6jCIH6xwXzzU0VCYg0E80ormNDzfTC5jHs2l8Kf71qHP3ojA6pE6Av2zAYXtqk6C5Fb7lI
9fY2ajubrFU14se3aOhVpplsbepibK+Kjiy8nM4CmW6h0a0mzw6J3LhyV1oFEJDUWef9ON6UU9ZX
1X1aAut44nRH5B3rNHavA5fhMydz5F92m20paGLvMcGvizb5LJnEbSLG5innn7XrxuFacFGuiEW9
qslZFZnvvDo4bwaSVyQbEpjlBO0eG7IJqynrIHzOob0kFEsnT2FmK9GgZeOTyg8zhV/EoGnxFgBo
cn+Z6IKbcwyd0oSTKQwLikv8FU72fpa6Ar6kNqQ6biiWz73HPdApe24wpv/AnIiRXXPvn+JMFzXV
EwDIhZrQWgbYRbI54Q1EzumJlxjBI3L3s8rMWzsdamIEgPSriQsFsh8iEzfnZsGZXGzSIAMhI/BJ
0Mwm7rwk3Qx/mAklCHYNVJuUOjSh4wNTTppfwqxbDiENoxXhODMfBG8EukJsM9iVAfnTULFcjctn
oinEBGRcHeLU/+N14x3oAlo1kGdqfDLsS1fIQwcSR5gRozxecFIHToqGmGTZyS7bE5lCtE/0xbp3
K/LPP+Tf0J5FWCwFOffFbDFortLPlg+fyzpGQZNAcGUnb7PP503pV9L0BBRnuj6b9Fo56a/Wca6j
M7rgUzMyTtQImUXFhSlhOU/ZVGdr+KMKumydFndoF/+2jYGuj7T4xon4MTvMMmvfvhBcajc8W67D
ZXdMcRNU6fPUDytnZLbtpNwl+nn8dFvvbMuIOK+0W+a7MJgJ89c5/JPMm166WPP26vt8rlwIaxyO
Ei0jgF2U5AOxeHxwS1obAAIShSSTvxhSrmdWVbPE5nurVjVhkszhgmAsO4l52JMPJiRZ4O2P0GZo
TtcdR0aULPI4NyJMO0Uy/1g5gqNYsCCFlhwKp6NsnTlpZP5QtWUv5eg1GJKnrVX17/jpWK8Z4yRQ
CUikgKrqoh9hAjuKXUWb2x2WEDnO2a2vVd9wYGy4GAI4ZIgPbmoz6b4HYbhuPI1TA9NDjvy8hD2Q
bPsi2gB3MFaJGcutKeE6SEx1m4lzACjYYti0Jud/oO703ZGBHoGXl9yY5RzTx41a3zC46zySLvR6
dBzu6NdzSSFG7pQ/2AaDBkZa6ZLUvtwMpnn1k6w7K49iJZrTixUHFLkh0NAfq96vuCV11gdYLgAy
Z6/yxXfp/uGqTHVBavfwktQzDhDrPb+bAbJKb2RYFpvMAplHm3TPRK/YqXLY96qgkMDHh9ybtEsM
gZwYy+vuqL/hKZQbg2LodU9uH7LTHxXn+mPugYk1zWVkBT1NgZGvwVt5q1Yyk3M0DfFJml2taO43
tWPKk05hV3VOZmwZzl45rcjPwmJqSOZpNYydehUtuRICxn1ZuvumKottFVnhaohLd9FERsSXSv3K
axD1TNB3omzZvsrB2aQleZ86BBR3P4I4xOmWflEwznPH7FKKhFBN4NMQYk4rlD+BOZkXKPp3NMPe
AFh1aGsIuUDGRzre8vrUuwnO56TlCcOW0SCIBkNsHy1puadhYsnBhjxsZBVS2KGdS0K0FVIVRYxU
GGbHdKrthZ3xiKGr6N84IIXMqx83sfjqpuPw2BXFuLXJT++dpmXBx3+DfeZNWIE6mgS/j1o67b6V
zq2eQnEcov7D1EF5CmjqXF0GARovZ5h2HvO5XBfnhBj1PgPsjsFEnGE8AzIY2j889lufDS1v63HF
8Kc8w6F68FwiWUM5/eYESvvd2KxoCJzXAZMXmp8UofF0+qzcL9vUv2Ee52ydQ3mj4Yz5Msw8nNnB
cmzN+YhrGItoUVUPI3i7DXV45nZ26RVy0jldMpXeVran3lXSPkLy+cjpw8FPL/Q1Qv14iny1ImX0
exyy/C2zym2R+tVnaQtJZNSOz46CJz3fwe0qvNtNkuylkCFNPZOSJw72L6QPMaPOWXRxJquH3ulS
jwGHdBdPGU3JMqK/F2YlScfgKJKUA6jhLL20KmnGYO5GTxX7cR53VGx65VZ6+W+OTPYGjjMzMx7Z
pYaGjXO2Cs9/X6ZmDs+G4/E9rFd4iaojqU+6cGj31cZPTzrwkdG2/1QJkNf0oiKZ5Ls7hOHR1ze3
xuxemaKFAPrs0DvHUWpUlwHPDlJ8x+ChNo5jWF1bpsN7x+6yHSmudAOxn+FO358jqpa4+aGTw/QO
NoPrCn4r+nLIkxTY95pmj+b7hh5Z7mi7o0ygwdXX1NONeCWIXSlejbgcTvDKGMdE9cUgVgemqb3G
Tf8K8AOyZU5rhAnIhjxAI1HweoVCv9AdGnqeyRZzwfgNLanAl2RUx7iqWX2Ircu7tB2O+qFqGjqa
hLdUAgxeTX3IxqjkdC4y+QPHea88mOMVSJiLSWgZ17ySK8z77OY5FbKyLbpbSdSgppJyBVyjgGCV
B1i3i3WHnedMPf3Kb0YX+RgLZcuEnOlNGa2MMi33dLYW9DSiXZqjcHZ+V1E9qsYz1uP4GBZlcqRv
i4SGxRPeAe8KphN34uSlzvwfTDnNgqD4a1YSO2CcbeGsTPqHYhoepJH1OPEX0kmCWzZ15QOpMuSp
MJgRB7MSFDiN1dbQAkojwpz6+lUFc3KztH7DC8bRzhXNdnTJyvVT84n2roCtcrsegV7B/Fb5hQ7P
p26MGLdTzbE3rRBrA2roZfZgRVfD7ynV9bdwuyOQXHfv9oPeTmF1CVEt2VCabme5zCSawbuIqT0P
ge+tIT0HzC6VWKsQsCRUMMLNdzSMpDQ3jgJrx26z85EXDn9fihkzGDKMv2XKjqovim2GWrWakQJg
Po9iN8GWHNpUcf5gqGf575E5JJcucH6XU81+GOZvOeiMc5e7B9vtHDxf5qHVmNhgzQSsBGWDNjqK
rVGRbVEtRrekTytUbfFh13bIV5GTpqjwRZru/Oy3ZrToI/2bHkEwNGWsdlYwE5DJAE82gs8/mvFk
KT3ffPqh7lRhPKbaAJK/V3P3SvF3tAgTE6tjYpnE5zkvDtp/nybzwsBaU5LQftYxfaE+MJClF4ff
fgCO1x3g/WO/G4ZHeJTswnwd6A1HOMaku7mPkEI4d9D04D+8Qrf0+CHJGFKAF+LAJcddX4rMzpYG
GNnFEHjfJjPLlSr1a2SbN68oer6U4XJ061ff0DcjCECWC2PPf2MdC8Y8aVO/APy+hU3N2zF3/NXu
c/4JQsZMBUsWyoyygmZp2frZYC64EBO9bAH+YowAk7fVgIeXdz5JNDWvWNdIAJXU+XBlPEJ4vQom
kVsKmzBWrjxbR08M7vQ198RhrsIfXcRvczIu+nzajaX7xdyC0ATfYr6iDl5gmsVsY7wTKXjv9Wjf
/v6AbsibWwYiXFTujZPAd12krw6YR7sdLxEQvdiiQiJh4bQG6Gp1Hr0pF0sBUi36U7SllA3jLJ9k
WCC14GwCClFUB9cKi6uR3yp2jSmAwp1XVcNnWnqbvGrFuSXLvsxk5G98h9RH0MmnzOeJMgOuu2Yd
PjDlO8yi8zGXNcyBAHDVcmDvmgz0kPsHSRiOP0qmG6MGGxVSJ2vdfSYTOektrNb8wnRkJYTrMXON
SNB5eMVDA49crBkEdO2GfLvFDOCzITexw95H6E33KyCVv6Z7s2itXvhKHYo03XAj5NCnU27VLRn1
ez3qIlLj/X7FySbhDQBO9J1UeEQTFzySiyazqppx2bhESF3FE4d026xD7qU4qqhrrRtJPr9+4qcd
ADTLXTaG88M4OUTYm3LfNCa9CrI6anLuS0bU45oCYH1hFO6h14bjCqeyccIKTtlDitIhuqFbAi4K
GeR3q6Bo3uaUM6EVe9esAjoWyEfy/5hdcuJNMhIT54xxOoMVGNcm9AUyGJk62VOrTgBLggVlPHjQ
LS8/SVdMy6DmnWkynpRq8PGIRGV9jEssOjaiGfvNvDJ4ZJaDS5OGxqPByIVFQbDyek7PucYXO8el
FULdbXg04x0qFquiJg+VBTLj45LMSpTUS/ibDz4V1CDJFENFiAQXzUlnD0lnJjaWLIuSYXMeYwyu
yyi7/n0Zg1Je6Vf6SJWOVqbX/3RVhdt5UMmmzHV96RH8D650cIvUAVPMAAEpaqCTWo8F9OZTgbh4
gln5HNpesC8tvz+0PJC5mb2WmpDOUJM2Zr3pVyO6YpH12YNr/kpM3W6rBk2Q0CWGW3d8YDD/miZ9
d47bauuZ1nxVyTxiFt6YDwl11yua+OK1OUf3+Fvh3jEjYpVzqm8WtmtmsDdriiX++jynZgsY4lVU
/bCVEVfdDrD3S6zEDVg8QAhSV1y66KMgbTocMRWlS1KVBeV3Pux9Z8YSZzYUrirrRfcivuK/bjGz
MWRyivCWDNF8mq0EQEHNKqOoRRKObo+RqPkqxPXFieZmJXvGKAR17QXEYOeY5IbeOZ36RNm+EX/c
6aGJf+yBa1egU4zPeWpAdLKotAj8PwVA30Mm6hfoCfxZjZ+uyUNlRxxY8wahSe+YYcFu7AucTJo3
T1p0gUVBgFIq5vug0rD37CYHEvb4faFq2p7BvUKED6y50zGdqfTuDTXtMrY5CzI2vpTkkpcue2oc
CDZVuR3Cpt9glNTY2ebm0kdFhVUlBhYg5odIBs4DRTa0yGkJ0QNuAhisONyFmLiWJFbzixfOe42G
vnTozDPuNRPdiS/iye2pRwSY0uzv+c9t3jB4CPyUfhF89Fsm6O0GFvTAql4O6zJVtN1xBF9wfg1w
Wmt96C2pD2OM2YeIVbFmexxBOBXBumGiougy35jjMO4Y5mLSgKY2Jt604ASGhcvG1YbjOn2M6Nja
3o3ydmLoZdtjhajvL3//KWiDcF+VG4YZLfZnbne8FGJn43nFtKp+c3em5jJ1pgO45uaCYkiyxTV3
pVBUu6VgFQKkqIMTkUG24t0Y9P4BWJVYVyCLVkWuaMbrzFeJf2GRUU26pgieamwDAdaSKgB18qp0
XlPdMxnrvBvU3qU8ZI2whKmNNtebxbs/maNxImqiV9HofZci+kXPOz1oWQUEu5tW5ljiDWECfY/V
6n0eTl8d94kG8t0pNzK4oRr+fWKKYaWU9T3I6RNIhXkOsFnCFVgXlkutw9D5C9j38ToBS3bOiFJz
TANvmNYSId0iRBJV6Tlw5/Q83wZPuc9WhpF/TOmVHgfzltGmBauF2FEY8KHR+KRlfw58gtRdU1U7
AFX0zDNiPRJne+er3xOcOer7S9k6xuHvL0mZnDnnxAcPyhJeCLzmMtPYV6M+XbZ3Z2Cgs7Jlii/s
w/8dO/DfAwX+HVTwvyQT/D+ClNougND/iU1wbdK2/S9RuX/9J/+MygXiH65vmiTb/pWH4zf7Z1Qu
sP7hmlBMBWLMXwxp8J9oUtsmD+d5YegL07X+maL7F4jAEv+4R8t8eP0We73jhf+XqJyNSfG/kAiI
qgUY2QLHN53AcU3fukfZ/i2qlvZ+jf6hGRhQ9kxFNe3KQzVrBmD2C4bDt1mTkwVg3zTz3h3spekW
ei9UtB3T9veM0aU0XPDoZlSsGXsxq2ICq0ClbYvKpXlRd3st7VXbDmfqUu/qbUcjaxQYx0qn1Nwm
DKlcoz8nVIeRLE3FtgiHHXP6cNHmmCA6IluY+R6tziDuUAY+9TzZEb7Lua3jF3oRbOwi0ZPjU8Hg
V/6BkAiBIrNdTeP80cXux0ASf0MnDlt0j4XDI49wI5zwa8pDqC+ylvwnxm/L/RNVoCrHJ9PrGCpj
AzwK5XHmy/bTmFjbdoAEh/3lpmYrv8733FBvPxmuWsUBdmBBSComkbBwsCpBRKLVACPR1Q3LaBuQ
f2r6aDVuUkPgSAzCbwd6TmC8cLRWG66cvNvU/yyBmC5iN6QILOONznxqgKRDIqJOvVWXvd+v01FE
migoSWuL4k6AooJy0TfmK/itFycEwFU3bxrRzmuGHy+3zgVpncL1Ln3bJbugdjFme9reevRjbULq
RZdF6w/vc9WumwloKnWdv+havRLi7DcwAyquidkd+tqPl9r0qZebx31hNmo/YViGDMBNgjHjY9a1
vy3sPAfczpo1LnJulQxMamXABnJGpkJL1Y9VX9VnTL3M5zK0jDALNpjggiVZyTcLMcrKDRpiPa9c
c28p17Dp6pV2i0M0zhbdG4L6Y8n1rDWtTyCa2fNUh/dVFHuV1Zm3su5Nnk63vcTjiIY2J+TX42ml
pYsJxQUabk/xcy/85OFuo6dmm4TU5KaHGG97jvn0QmwehFUVONe4mIv1PBL8aeqWpj80j2UJtkxq
bVydkFLzudbBLupm/6GPyDN9VSSJ4gWTknWicSXMQdmvR/N+ze+/I9X166BzT87Ye5sh8W9WXaw6
wpIrhH1k7CiHY2tYI++Sc6xi/90OFZ5mWkgd95toH7pG8pQ0CI0B/H4wWNcuFEuQN0+N7Xib0gDC
TZ51EjUg3pp5dzSzAQsjJH8Jm4f4kBBry8IqXMb4E2IPpDg4yd3cO+Vq9JFyqKT69Am7b+yeTCcS
fozNtgNTaISfRut9mhQIEuHnTk3X466D+Kh0xRBfRaDKjFsc56A67hfFJkB8tHEAi++g9Lbt5HDL
dj45HxAlJEtFv6wvuovkMESrkljERfKb2MFHocUBMCrMAJM3o6NgCjIsA18+mSx7qbKfQd3NSULe
qo7sAKU8VAShlWIhyBg1iGGHfRc9QYH5ZZx9bEu6oJvysUOEXhEo4OdjAr0IMm/A3BXFv+LoKYrK
VytX94HBfAIJUWwYeZ5sT9ItVvjV2kxKuQBHU6KTNT/IUVHp+HAuwuhQW5wx4zn1AUqQaMpj99Ht
hmYFV6M5WpoIECPr6TR4wzYrS2RQF9aDbaThLjWrH8Ii7s3oMIpnJnVWktkPzd9lePr7T3gwQUNb
xrCmw+zgRWO47XCZ26n6HTcdUH+6vIvmCVvHNiIYvOV5eBvlc08Hzx81B4vaxZUKzeroe3fS1ZDM
xDAd99RFU4iNlZaBNmBcW/vhd0S99WXu1RfzCA1pJkw3UX9He4mKPKuNim7WKGBkmT98HDHnLh1O
TjGNeyvixj0JJ7mIaGAwpIQ8KH5ix+jiT9zUpwwz9tJi/nMhOTluu8hn0jIVmlWV4ajjNTenHO1V
VbpyS211iJils4sZvXtzVALNShHChHHq0948Ir5v69bLj9VkflS6ky8tXR7+Azgc6zsakMOkX4+3
kmQvx/CK5JMVjDtzgtHiOGrXuQEAd9lHa8vzv9vWm68tm97aMKNqPwas12PD3ybF47LuJi88hoZ1
A0PYnxgYPcvGwjvnpPVRDyg2VWluOt8wt6wtR2FmR4hX/ramHgIgJ4cyuPbdPYiMn0yu+WGCixMa
/T5HfFpkXHVEF1BHNNn9GiEOp1rgRvQYVG/cI1D3Mm+nA7VzG/NHzb67LQBVLoRTtOfR7KOd9iZn
7VhHy2mL954uTIrwJnfLZOVAg8kRIQq+4UH0zjuG0Y71jtBoxv1XHdJkKC5Kjmvbn/1NXYa4crzB
f23pPGla59eYqZEKEuepbePibAw9W7rKdjokBMWQ2LiYfb3rWye9ipq0eEw8gHol2nHMNKo2prhn
7XqWGxhcoHDoyeQB4KW1yX2OYxvsqjEEFlZ5X35MkrrxKReP5nTeq4a0daWnlFxNM27jvNibRuw/
DwblaUNovBbK4dyhozVGBHrKmrQHEJ45+J1rKvnuv0ykP2610LRJAExa8Zu5WLPFG1fqnEqaaETf
QNhNHYv77GFuhuAQk+s7pnYrGXcnDNb4FEjN2h9KchSYIa6LGT0+mb/gANbmd6+ktx67lmLJMLHh
i5gzUM9sK01m/7UPmcXLJakp7vBOGLNTemovAxkuaeJ9kGb0IDfmnL5nPu+DPXIfJs0/xgb3eS7+
hJJnsgAYs9or/LlkVffiNlOFkwNYWWnAyitWDxBAAkGaRmq9TFrCLMlw5n3K2IgoXy2T5DUlMgYI
+CXblp7eESa55nMPQanuwvW98wQ1paDRp/Pbo8dUl8RG8jOGQG9GVD5Ie5iRquYJO1S2sd6bvD0R
l38hOwquCbXCG6MBAtQASr2jF5mLX7Fo7BnTb5xFG1biS16h7Bt2YC896LM7Bknb1DeOCY7Hm8W8
n7EqX8bYdnl+43FvF0GA0ClxoY6us/YLRNc6qFhjL8SenC+Ej3I9afpsTAztpxrs9jIETbMy5tnm
tiW7ncfxYhM4dYiQO6y6xhDbltD9OjDj/AKTaTN28x855WAvm5iGrLKknKr02cYdHvv5LucI1b/6
6LnMfbE/DEGwD8LqhPnhAUpisuCPCt975ylEZriXUKDSdQ49TY1K121ajMRy+vZG9ocePxa81RjY
1D11rXGUMqH2p//IIXOixXHLrom2Q0qA1+8yUqR4fabsyDR+FR355Va7xzIBUTE17q8Ugm+dJ1TR
BlF3CmvnATnIOKTM0NdVNFlrGc6UZSnoqHYyFgcr9G8O/45PUcG2umPbswJDDyDWU5IgqBhJJz7B
KL7sNgnHq2+70x+tzyFfeIoGo+qjr7zp63O2OZ7ZVvWBI4FFNGuMZ8PhEtuP/M6kcoccJ2HO4fnN
DGmxqZFYzjjz+hXB+EU9DtHvPC++vGK2Xz1a4A3Ta9ZBPUHfK6PxAzFyYdF68CA6WkmqqTtDsqwX
SlblYjQy40Tv0KPliG9WyFeoRPKatDhGmPfs6ZwRDzyrNp1syKgO42hM4OV37NMXloXRooTJc8oa
cKqTAmbI7N34atLuDBQnoIs27HZlGyZbVlxzVxe9sR7CJ1vr4bWNw5lGXcqtRD17b0AS0y2Qx27Z
BeZNm0q/BJTTbmJXGGQnYVDQu4WaUzvtjiNCtJSmdp6pIrFPlU8lXQ7m+Jm/+0W1sTgWfXIym8J5
mafCweWXnKzet19MVnFk3WmX6IPMg+HUdNlnMDrmQ6Yia+0SNF6pAYAiT7kvCe0H1ebv/xxG+Xz0
yuHZENmwal2kLyibAZ6wIrhOBZWhKGrXrFWvNHNb+xF5/YrYm61M0bgrI+hqaudDvQva8tucZH35
++JBuxiq6ArCmUvV2OAqmsubvr/4HMNvtNOIEMnY9xum1dboPIalU1AGc6pHdW2Aak3Lhg6+PLMe
wqFkK8rREp3IojK3lfhLwqDYJ4GldyqvfewLdb3p7DmC6YO9Ib3Xo9H5W8HsALyVEdDI2fJcA7M3
pplngXS1mUZqEFJ+7KsPvcGcOORQKdr/DDV12BXUFllw1rPiReNCWRFVYN1wht7bZl6byJ9+Ieha
eXFBBuhAo7SHkoK4utflm69pKYyoYqVK09vY988K3NC3N9jywo5GU8ADgUbqJ91Db7B5Rzjqe5qb
147M9bb1zSX5Z7HxxrBbOn9zOm56bWuuRUFTFC+Bli+NyzxWMWha0wSSf9n9F8EU50BwHchn0ruH
kCRzp31xcHHRAQEh8j4jOmRiG4bgSGRhfys8sssGXsdGdSEChtORcZzFIXKLhxG327rj6uAmwVLf
6emTFZurNJKYCCWGxdqX1gHL2xzuh2rE/e77YNCSRzYV4LCdomGzRoQCNXpKh5Ly7TkQOzVhOCwE
jQ1lkl+1UxMEGbiB+9XrWOXqIzGjD4OP4LFJ5vs2j8/ehND/Sf3Em2dX4tGvm+Lk30sgjSA0P+lw
eFFppJ4IEoZHk0ku2i7//4A5fe7W5c/9qlQVYYkSZ+PAVizl2xLmwK1Dg2/uFi3DKQJMAeNlbHDD
W8SQHQEJW9YOhgELxP3Qvt7t5Zjuy6WyXX5+DJobnuMFVV7+MyCqLRYya2nrEdSBItfmJ/Dtm9rl
7RJtsdHMvB/zLkD3CetTK7fM6e4HTjgEaBZrVwTZmtjZ9J7mQMQLJrkXXyTOYzXPu+lMG1V1ae25
u0AdA2WF7sslqdeoD9iDqWPxVqEUdMWF8/hcpan7UAZw/cxlRuDhrS21fQzSGG9YyIWDXfghH1IF
oTUbHiiyg2pmClY2M86ONTTAoybMjuoK98GfyaP1FoNGJ+vnVV/Y2Y4K9nArzCp5sdX0agtLPkUo
n2OiqClOZ+y7XQ/jm0ECM5Sa9H5FHrfxunqvNBzmrlYQbRXHMwnLtWoy7mGzCeqbwwZmh67eTkVA
uDqZjLPjc1UIBuGunJg8mRPl7ZXWnWJBDcG4qepJ0ThHFJT+B7GwOP2m8MmeOjN55zveJPKdBJ35
aLW5vaLH/J67xMJHcccWVEt8zogGbtU4fvSx+SEST63aLHgmQIJLWHsv7BDpVjX2uQ14/KFEd1sG
VPKskuChwUN+wKX9N9O1j5z+pqzmjn6TEHLcNI4wLo3oC1rWnDGK8imcRPGUuxXp/EtBJ+Yfaq0A
K6D5WfRUMUuuFvyV73zdASkBxxuwRO+3xDyV1SLcWB7VEEX+bBv2L+BzH9OQU7ct+49rHtlfTJO2
FlnDheSzlCTX0A/whzFRWWYO8mgp4VwqD8tcIf80QRMjZF3J9nwNvtKXsmG4b+CtWRhcQg9zYp7q
qE5eMxbmSqntjGNsldpTsGm7B+LdmGsz9xPZA8tjeommUeIhLn8YVNMs5sfEfwp99t2+XRu68I6Z
RQ1rpJN6rRFnnidXfloe+s/k5sXOZH0+oSB5TXiVeZ/c6Ild4PUsD305VcAmroMq8ycy+Vi+Z/YE
vL8Fq3t9c2eDPx8V+E06xSvKIJWGlUEPDaoDLSC8DJ0nT39/GWqxS4OhWcvSIW4z+u6tFvm+Yrx0
rIJp34GaJ4Br+8eR0CoJJ3xLuW32y64ya/bLMifyZ248ODeXILa8tQfaCD534aOlYLPT8qGBCfZk
d6TFGqrAFo4CymNn4Y/r0A4bhK+N29Rf2De3PTBIzn7KOCTUaz9VWfvuZeZ4atvwVGDCe656hiid
99Lb6topBKac1DetF87dupSfrKZ7YUwwb/J4iNeszHzLyl4thnqKN7WMk73KPbR8WhTelJqxQBqk
4wvfVRvXY7ZSlcrauAALNn3j+tdJzCCEQGyF0eByXA7cB+Ube8cc7fPff5WS5cVUxe/T72jw6S/O
vYo6q4sDtJvmCFg1X5qjWhr0oZ4TI3OepuqEwxyviO1942f8tLTV7NxYjhu8BVsGeOF72dLX1BE/
Huo85RYP0QRtlsc7xWxSEVylco5hLB4J25a/4v7dzaPn+86JeVgdRA1uHUnk3UuSA9LYso/Dn9qm
rFiGQXamPQlea/JhldDcO63ddRSuMUdjuY67kgMLQz2R/NA4yu0wlynDYEOdbSwYrWngqmRqSF0R
eVyqV7sG6rYZle/zq6MqZs1ohMvSYkImtY/Fi+Q9Nr/2q0z7kxIuUCnHYSW6O1LviWXDIeeZo8zl
vVLIVPYf38oeJWPtra+LnCkQtxERPiVwQz4buN4QSa0Nd3LUPxWLdV2UctVbn6P2x2PbmmeRxJ9l
4RWXCr/OItF00FdRLTaVtONVb0/FoRD6iy4W/ONUc25xToD8yoqNM/ln1+ur3/9B3nns2I6cXfaJ
KASDZJCcHm/T+wmReQ3JoPfm6f/FK0F/GUnVQk8aaA0KQklVeW4eMuIze6/dMFskQcT5OU7Zthhd
RkS21d7M4cQLOFSvdeSorQqucTjC2RVnEY1ErNLHrNHdZ9sQ1w3URm88DwKMMr3dMhGx3q3Bhdox
bozcuBthAl88780x2+HRLSC3JkkSPsuZnFwIoCNC1omgCP2SNfkqzr6aMbp0FeJxtB2L2QUP0S99
aRSfbJuUX1sa96ELhirKjI8GUfa+L0FiAUPd5GBNCIAYlxplvrOz9FsQIlqOEUL5c/IznG5cyWVF
3jpeSZRV+OLRyJTEElf0uYG0DoveJi0tVK/yoxlQjxeQh6rW5ezB0RTmzcl1XJbigdwVdeGfYosU
i5FO+9CrxD6Ikgco6r0GCpIHowL4xBlww5a/pa9ja7w5clj4+SreB6Z6r3IRMHntjbu+0meznOZT
P+KpJvPGuIXMQ0Zb03EkB2m6wYPKfoLyZ+P0PPlD2FTrNgLhpmPX5gyuhgcVmgGVECqsurb4tY1h
t0nMXuyS0c7YECATsuhzRJHouymKP+NSvboZMYiT6bp77K/pM/rH527Kw29mXq0jI/jG3H+4MO3w
n1ttPrb4MvNhmo+850R4kQXT4Z6/DQdjS3JJdhqbuwt0CnyDr5YVj7eDT+he3z63HeGPhMHoXQkf
65JA4dSBQWXT5MVT2/s7oAkJisdkQCnTvrfay1De+HpvmlmE71C/a6YCD3Mr560CE7it2FcS56X7
4+RK69Ez2vEIU57KjqyWDSOahT1gn5vaLe6WTe5zWaEnN3sT/77rrgrMX/ESat3YCStoF7MKYhv2
IiLzWeWGIIdgXRHf9wwmJt+wPtY7jDYllilJdOTSW7GcqX61TSersbZ+l/d37j7tEkZWZOZ8d8Mr
7FGG8YzD9llSbad0oJxTy2a5P2onoxUfi/hkloB94+DkZSE6YiHPOU9vKXpx/fUX0LOGrZt7+NgG
9GgwcznJG8FhQLyPHLiz9jkh3FPDFakd/ih//0so+UNVg0JxlmKUTaS8diikA+sbPU8EiTkilaND
YJ7XTnlJUTW32CHESLfg4MTeaC7uC0XgK38qQU/NRxuN4YR85IlVGh2KR3JbP9Gaqek+KuoRvM+M
gnCEgimXEs7104iQGB6UOG0Us30r5x5PrXVq1tUpKruE8QZTj9Ilq2ysmboS7cf7FTrNY5ZwjPUO
YSKlLRBGYEiDSNzt5wXEpFi2cDIhG41euwlSNQv06I7Ml8tYOCaZd+01Aqr0BABR3zsdRKQEZxOw
OWP9qwDQjWNvEl9+TiNEiCrj02BEAL48z/lmmm0sR/RbV6Pv9xSWey/OnPdqDFZ4rk5OHF+zOG6P
EYaxtUYce2msPIE6o0PqUBwg5s/RLiaNWYoGfWaxh2qcVGB6sk0fMRXwW7xnMwhqogJifZfWDLJE
5X7iDlJko2bqgv4g3QYj1sUeUNW6EEP6CgCXCfho2ndmaXx0Eifi6Lk8UZhSHoMB8C5b37soDK6R
GQ5UHGF7S5g7/mAJztpNzekSEttOlpBe6zYbrr0OC35Sd05w5rb2UN/UQxQSEqPHK4aGEBdBFDBq
ZbvErX0TNorBy6T6baPfgySNHj3Rb4bURkFqGaj+qh5kXsyqKg+LiOOpPPEC1mfDU3rtCQFg0w93
CUMT3DbjtJHVeJhNcA/4A4FX5YO74YpUL+0y/xel8VVEOK4Fheuuxo+9xX/J3N1o9ElYcb2Eview
jKduVYkE6JHlXKbJeGUeku4Z07ybcTY+aUIZEHOQvSZF0ux439PjL2d4OLEGmWV76dyMgkL7gsS8
sCo3spXHouNAceMYuN1Ehqy0uYW8HO5jOHQ3WY2nRPt5vy2AZG7JAsFyn8YXd+iBtLCmnsb2xtHj
fCLjx5ZRe/Hm7srrGe2AkyAUVKN+w/m7T4V7wF7vHYbIfhsJ6VqlJmaH3Pjw/P6FOSDwOqqycBQv
VeV/5KEJPMmCXEOrZJr+tFNVY17b/Uzi4Uup9JeNXxlXf37rjJWxY/5/NSNFPIhp54e2gzttZua4
szTljtVPA1/A4Fyy0T7C7e8vccLOELn7bSm94pZg06cqDrqbglYT8ZPzGgluV79GVVxapo8YevxS
plk+EDNYPigj9ja1LTEwU/liNVBnq/kZ2vGyGSyGu4qEozUlJDLjvl+GDxV7i3CB12iEPQnc8pkE
Z34H16ojhr2x8YYFw3lK2uHszUO4i51hWPmlDtG18BLbg+rXGTRwkvGi6tZrpX1iipXtDNx569HJ
kp0fYIkHWI9TfPRJhva8jjiTTYbNcwdIX9GsSsRD48jgkVbo4FRxS/8d3xPPoh8qmFq45qf8NQcI
iKPIei+WeKMusDZKdR/Q/i9+QG6YK4t97Qp2C2A/YZrtLWt4ZDn1JDIutykjck9dPJKJEuW+1TaU
FF1lD0Ugt3MLpDzq8SMHLHuHSr9VPD9kpaQbx4c7G5DRgt2PqVBVceB0V6YQ+a6IzGcZs2omxa6X
swdhYfG9YnLro2iTCDEdzZaWu6nVpu9Txaq477d209P6+kzeWk9H+wD+6uVuDuOYQLDojVQDhu7M
xFzTCIGSLfY0laEtrqiJOmnvITChEs2tbwlpCacK7brrsUBIsvEyuN1LFsbVOijan9Qxl0rbq1ZC
0K0Bt7YsDYIM4xHq5HobucH3kmBZQwHn99GhZxwydgrnKFg8rolVozT1gD0CI0cQWuNfzxJ0vdY1
EON+SPNnkYOUEN4d3ANUF+5ILlbPyslqH63SesG4SDCf7IgiTSkhIj29p1OzhVkBd1cG74thAzmc
+xwb/oDZAjxQiK6K1vSM1xinSPQmgTVmctPzTDJ+4XCppxjYrzNNG4/JOiGH5Q9hwFFz/ZGEIcO8
wUnwEIxUSREpYqpsnvifn4tsNE9GxbImgT72ElkOEliYmg8WIQHrbKT9yy1XbekZqnssYhvtadqR
Yvw+cfddfbDu106nbOGgnBhtjZu1SL90TR0d9IRpYyjMt+4y/4mQ7e1Vj4gSZzwcf5+3uKpFd8vD
0VyQzVxtoPNPcyxuGOueQDsCme8DTPoE2nnsh9dpVnWHajCMLSmJhPe2GRYn0M8bmkCitpHJ3TvC
OiCse/dZUdxNrjecbNl8tKp9rhf1vLCNx9CauFGRI+xmE2urb7fNqbes/GFU6qEcguCmRE2+5VB+
TIsK36zuQwYqgrbEFXc0Z1xK3cQ6s2HFtNgL6qj17hDGl8eJ+SJgW0mxgQSPtqF4Yo5JEkn5I57L
djuuM6sbeHhxPmam9cay6j1uxkNjGuvC+/RhC3aj85KE+krvu8un4gE6wn0s2Pa69lfFjGMMFFeU
HleR1cstgIidFkOIbYcZZaTg3Df8vi11GcssvO0NLz9py7rzWBjf4PlcUHQaf4gfbiyvK84AovBm
ReKr86f5bJJMv1ZdgvZCVMTRFybjxTbZdw7LqkZzCNX8GFg/U8V56M4blfpy21iTv8uizNuMBuHk
kjhkpOJvAeUNE5meTD8HvKpp1m8iNFY2CJBwHfn1eDC3jBsZHMfQNsIIhSfIkQTKCA4K37jFW/JY
l2h8zImNPPxjFNhVlO7dPvlMa+71FGELpj7nyjqKRAvsY2gXwgf07tfaUwl3CBP1viXTgRiBg1sz
i5nC9MpQSUkje6ROKkX2hV7T2hE7etcwL+m1r2kJSoZBOPu8JQ0wnhFkFA+u7TP6mOSVuSDsz643
Dn1E/a1b/ulc/CCL1T/bhrwzO786e33T7gAhHGYprPM8DN2B3eqALd6fL9J09dlzzGBX4BGL8mTa
Eepq7dUoOA3rAsqjTy7rFP2IJzN/iizxhdqHiLGCjWtSNdGuVdy20kmbF0zrFccXcNCqgjUGRMO/
ODrfSidPaUcRvNq9hHZmAzRrqiA5uxRlNDrBIVzK3KFn6NI1RCEyI3ya8ze7xWRQBfaNowrnxlr+
grmUmQOiWBXqfp9ZBh5vXyPpmkt33wo1HhD2DncdMbVNbFsnyK6oWq12B1yGGygzz3Iywh9kdj7w
QxgDDIgoyLtNMfr1IMJuCsYSQMXe8QHVeKlc62VISi7WUK+8sRq/O0gUoEKeCUlxjg0Bioe+sq56
8aYy8S9go6JsN3jNyAsM71XlxxsFIGjj0+SnSPBPmgl3oxINLIiriN09ICECPQPWPcLsXjRKjBXI
hgcnmy/GxHZbKO/ZmCFQs0bSa5/AEcQxYJBBYrDFJb6yToptW3dfsVuwiafbcGXFezSKh8FMX5po
OCaq/YmIcSQXUHE7fccvsJpDl2YfuwaSq+6Y5m1G3Q1QIATjvFIc+MXEuQCd5UeURD+ycenMRn0q
3egIJTDbteaEttcquYTq8LX2XXmkf0Havoi4OjIIW3Nu8LMTRV7mJDbSZybnZuyu6DjKs50C8TY1
46Qew8taUCYisbasG687qfmVITMs4gZsTeEk38qrOWLm7vvvrsw+RC0e2kJ/4zs+2QHStN5osPWH
d1wKehUPPe5up612ltqFLPdQ+oClzQN5McSwFYJOLbVRQcwJ9Iso+k7RzQQ8RxGiIkzIEWPLUkpm
ujBzhUPuRXOcXfVtjKZLMActZTC+JiPOZ9J0mFxp183wrcI1dk2E1aS/j91j3jh0omn4YIhsgGlF
MyYr1sgu8Pc2KOeD4U5na4RDUi/KmK5J8OfZxg1BPN+kVxt7fwDS53a3td6mU5Dten94QNDiXH25
VxpavD8HDD6bOrxURnEr4saF8tzBXUy6lyUXeWzdaD9IvgaG9tdMHTEgXU1kVGM4MeUiiXc9h8ka
dR6UC1Pto1whbIgHYz0l1i071VOQpxeCXoAaMh7HRDsQcx+c/dr49KJqr4rFRK+8y6AvKM4MxFYB
aUZq1gepGyoZlINPoL1WXv4WB/6j1YjxFuBIfvZtQXk/kBnYzumHWzBejfzuzZ1LMonM7G2KOhR9
9LNYV9lu4sI/1XArVpHEIpbS9e5zT1pbA/9gltQI46V6HztHX2y+fTrg/kyFfCrUQlKFkzKH1ZMb
VXzVWOpbNksYOQ/xMjCDbO5TneGeWkPiauCf8P/uWhwGUNs8fr5hB/BkPDKKPXoKB9wJH/smzIuf
Pso3Z/B6MBkR43+Knl05xd+ECwA1uw7E3GxjX28FaPJV7awGmb+ki1asLVgYRx5Zy0HHD0PrSink
FqeaELFDi3WJOWfRr3PZR/cIcbHDT+G9cGV/zi0HlVkcqxV6TrAoY5FtHLuklOr6cY3lcDpOES9k
5Oiv0koT2tgefk+Ygv4IA/thrj5nB6WZWWAdQZL5lXRPEwqBIz6BJ3QfPNDBpxkudIeu2gD6L+CV
s3KgSkGQfMoj586ndX7A0httMO/Vz4zvj1PRPOlEdV+yci6j1O12EBBEkyoGBNMaw90AhnN0RHo1
VbiJCiEg7WTHzrbeJoA6R245vQ162XD80eN6UV6s2A9g1bOhMUdJ/GZkRN/O3ci2awZOYcNdkFwV
npZ3YvhpzQHu2XYP7Dlfe+Q4rBAxfOZQQ/1efZig0jE3kKxpFII30ITCr6xdlAM+tFJEpbYJEA/j
JCtmmMJtDO11NNDIVVHGAy+fiZjX7FyZ9nRJsYssKVe+H6U7EXn7LEZ415EGkKtpmxPcvvITeSs2
IiJuvcH7cWkYUvP0MvvMiiemcY99j4zJDjmXWF/iC3Q7uSUt7jt+HAsgyZ5a4acxUOwJRsiejSyv
57pcBxCxxbmte/jNpLlvvDL+jHpk15VVssaqUGUAVh6x1Pprk6j2PZilY1zkz1kVBvs63QsGeAdi
MZ49trbt4hrUbf+jKOun2UeMbbIS7qmcfNrWMw8LbHbvgACWXADo7l5dv/ggxcLRrzZoMvFbLrRx
DPNegbWQlpkg8hyYeEMwc+ok+9gxXzMOhmIitv6nEVjvNfle+B6R30aFuo/VuqN/2cG7+5ALubMS
JHWaEDtkSYNUkRK+LHCfJ58u1fuWwcNgdy/WE7F9cEbjm/7GaPlFhqyz06IpoZTNZHVr/TI400lj
srXaCvJVkwPqtUEHW3EHurx/FnFn77Kx+wxjgrssJnNt0byjHLQ2Azw1z7qyCevXv7EY/IuIGRPX
wG/yA12b7B3f8h1Xkafju0r9IeKGQW+V8T3N7GGbZjvJCPAMzssdyeWYyLuVHSlz09c+m0lh7FVi
pQwZitcAEZdqdfcXiTcm+UF/+DiusNia4ORVrjSt5eP+xkQgY7OYAzcZ94XNVEyj3RkG/L5gmNpt
yFh+a1fJDxZfXBZm/GG3wCArr9gbjfrh5oa/SfOSrw7CaR3wSJJY/he/LvUvPh/WBvOX28LnLvj9
5ysdhzF6RuzimFcVqQnIgEo7yA+ea4MlqWtCKpj2rVSp71q2D8lUNm+T+yV1yVXTjxU3ukOoeD0g
GeCJ/O+tNf83iZ7/Zwac/xdzPxlbYXr597mfl8+kiT6/Dz9+lL/Lovr7P/ePLCryPE2hHEea0iaB
4zdZVObfXEtZCuIsNRrWF56KvKiXOE9TLt4bHldf2kCaiWj6ZxaV9zfJoMz3mb6Y4DZc57/y1yx5
nv+b88l7agOa40fwIVDa++IP72mM2WXU5F1uEa3DhnVjxJcdXRyRwoCROutIfDTKvqrRawfE5Ab+
9Lws9KFgZjZPpYvZei6LeUPzaF6aWaXHxPbPpqS6taB2bHz49lBtCvEXr4z9pwgrPrvrLt4gm9qa
ocHvX5ksKCLin0sDcuyGnjO9L4bPBuYbyAr31SAjcg1Qydvm3FpwYDN6ewwia8rKYUXeUnUGhHgM
kOWcXRd4OkE2JzbQ1W3NgYs3udsHlZfsVYndOAmnkLz7pFsRNBzCRYU9XHTv6CmLFXKYqXeeXc/N
kSY4V8Ng7GmWLVUl6yxAjHV8cbpbPQ/TR5wLBEqtumcBl51kaISX3zx8/+LUlX/yStnKZYD66xxx
+Ub/cIygUsxL9GPGJi1JsQH7Gl36gYA8dqgoqtIjS9ATgR4xtwwmkiXuKR/wFyIOq0AmYr8V/mNo
B+925IubmcKFODxUOYOv3zps4ad+GPKd0wOht/GINxVqz7F5I6wc/3+cvthxN53tPj385z+W+eeH
VHm+7ULnU9jUWJX+/qvuXXS1rjMsFcITMcrxMZpUtxlQ4hxnp03PsNZQHwn3bM4p4tgOLWwxdd7f
HYb/Njbtz3eazYDEkpbLwyY9TxDZ+9tLxGGeMbTCibagKL9ZRcFL42cTokD4zvFuDJ34JRkH5xjJ
Chx78NRHMEqaLr2iEzP/4kb7dWP99sXlTvVw1ynh+Hzpv6KAf/th3MCh6Rhsnxevu/4SBg4F6kkP
Vr6KrevoY6duB5y91TBtalwm5/77PDbB7djRCjrN5EJejya0ejaUz2Ko2FyBIJUzalWvFC9RVA9H
x3LfZ6MwSCcDD2570cEcUtLm27m5TSfEhcpa1bG2np1p2Pp5CDZOj8nNf/76/9Uf1Qe34CNWkvzH
XS7P31zek0EDkIzgECIGerSrUXvbLdESAwE8dWmzOHO/SnLQKHPllw2bBJktGQM50Kr0NJUCTUzo
E3+Um+UmNZOQaqltUMr3FKAYXB/YHGL06AxvHQKbZPsGkhDZqj6WGoBiWECrSmpxqiJOPjfLbswQ
UCAu/hXuluLxP/9h5fKK/v57dYWyXFeQ5Oza1q9j7zd/2L4GwhpmEDHKLEkuOKjr9YxxKGUn/WBP
xsSB3OxgSjz1wX2aeh8yICVYGJm1Zo4fH3uSB3cqzb5n7pCsHXzta0eh7GEN9MGOtf2rV5Pr8I8f
13Qd2+I+IngaJsvvv5ssRsZRhykioo73E1SOeWlZODLBmMVcn8K892iaUSgiVSRBjSkl+YL9BW8Z
8TJcN3fWoB0wS8YGZ1R7wEPS9XG3+8+/1D8dIK7iprQtl5xryzadP95yaDv6SFoADhTYw01R2V/u
7FRMoTp1O2i9byz3JOrignyWSIOaJ9sh5+K/f2Vdj2JYCldxc8s/1sQGHlQXNDLp10brnSfLaJAC
lfNmtLxpG2s0GhJ96EVmNQIMR++HfAqgntDITXISLyXhXIwVVwGMyzeyk15hklWyJxTKaD4JhyM1
cKCzXwaRH4DPjyUv+t7UnnUygnSTIXt8tQszJdrkGVRj9U7gD5yXAJmv7xrpX1zP5nL9/uE59pTn
mb/KFOGoP1zP7Ui4SForH2Po8JNMkxaVA/wCxIGLsG1ms6Rd89S3j2ZViAdSu5tDO4Xmtswk03vw
aAQeF3/xDcg/fSjXcxwXvY8v6VotsTzNv3m5BjMufOTybB6Yiohs++vcrBFuIRvv1xp80CYcq2AL
ntx+iErjsRQoao0LqszgLIj2IDQoWBlp05xqXEyveciUrAXSJt3xwknLbrDP8GC0ffcwW9VffPxf
Vuff/U7Zmy834XI+KI/78PcfP8hz1h22HW05/qq17Qvj3Pm0iD6bS43o9iQzY9q2FePuSOIwi9rG
3Y1xvZa5MW//8zsl/3gpw36jwFDCJcJecEn8oaWq7cApJgn7N/dFe5gFq6ic1jRdbC/sYpnIlbeZ
luoAExCap29DZytyfxXbNK8hyIAXE/gPdsNoA3hNrGqdm9cBbo2dmPEBDhyDJK6XX5/6v4rL/f+R
EmAq9HPSWa7Wf9/NPP1IP/PwM//8XS/zv//kP4AB5t94dxRnveLfx+qEB+PvwADX/RtuXo44Hox/
tCb/7Gf8v3E/SN8XVKeW4AX8Zz9jOn/zLKbwvu2BWeGkUP9NQ0My+R8OHjoty1TSY4lCEcvP/P1L
EidejE8RDYBHjMobETtq3+mKWXjtj8w+dOPc9ZGy4PwD32R+MhtbMTWEQxeDk98O0lqsEhosGNCB
/BK2RfvEIW3sKnsaNXqAHvgaJkx0yo1wbHgpQTAz4gyg1ZBNXpPj2ck2RrvdCbB+mBWO8bA81szJ
AkY8GsF9ZdhevQ6wAn0TbYBVxrFrttABAsevuEyaZi2Vl+AfiBHgIh6z4HEaWVNb+2zKxIObIVFY
Fb2VduiZI0EYjteK76NHnu5KDCPk4KxRxTNvKJNWlRJ2oAn8I+FJRTdtsWhgprEUrzm62Vc8hgDD
HQLoSWCJZ/00EMtyaUNFZCYT3adJzdmLiNuFkcqAAYcyXzGbgIw96crRtjluA0SUEL4mLUG0oe35
zvDKuljGbMqFRu0P0HVT/doG7GTA3Tbjo+S/IkmAy+uvxs5kkGUzqmR8yW1nr1BrJ6CM8oxf2tT6
TELCARlJUyVHxM3BQ+cP1X03zuN20GFvrsZqzi/ZbHv3YdMXQCWt6rsZzuqK69pF09FiJ2hpVHeA
CItNz7Zs48+1OrhGFr+UGBvwPZTxzh66CYCkyE+VYALehuhLffLnCZjT2AT9BCgTSxzIfZk422yl
jly81Y5MDvFRzfMMLDsM7rAe6evErgK1FSTBVZ8ZxXZoYQ7VJoSKWmf+2inHYRNXVGrBwIxX+nX5
XFpFsHMdq2B6CrsYI8sybfcBDe+nqn8x60llOIGshQ+GdQmDf+k7u6orO+bO1uit/ZLQNgRPY/46
kFl0azDVvne1rKudEU3kflVOdZJR47+Ywm8+bUAsiNAs0/L2LGnpoFQLrNmCLX1tjMoALGeEJ1mJ
6gApsL8LNfmTZLgShy49Pz5mpKcSSMI69CXXHrvKzLNw5YgeZ2yb4eBkl0w1E/8UfVruhtDC2OC7
ufsBxZr6ues8/2mpyFnexkKvojAOr4Bvs0uhB/8YEd53z0yOTGXHKpMVkA/nsxyrUG6mNowfRs8D
RGYmET4Cu29fmYjrm465CRr33MEMXDuvJM0iBrBTCrkxdYxDM9rltunbSK2D0umfPPx6zx118kEN
4/SFr1i9pl7VJgci+tqvVIwQ2+eohboRk4JQw/kSLnIAGX0u1yEZcSCaEMxErntb5022i/uolsRu
ZDj7k0IvNLfMvxKllR14bKM9+sX8Nkq09dRT5JAC5MhH3pn+MDUT+NioY35QVERAbjyrqJcNhskx
0U0N6mAFR3RbscojiMNqr4NZ6g+FBDpfR4CBio0fQOQibqJqVoPJepDmP5GYBtMiOIOGMw9dPvTn
BEPnGYsLrjcKJQhwtWGaT9lco0zLqiZbF442XlxcevdU9QLlbBgv2toM/gZo2vGnpRmwrrTTISN2
gIegzxuyho3UCLqpNUpUQB4v7jEwCkbi2VA1W95/DHMghiBflRZnTeS3JqgldCL9HJOJ6U2GOgkT
YhopF+7PMWjLDRYjAgmztiq3pizmU1UTBOoHBkoEwxzxuYyViTnFM0gKMWg68M06HTFRzDWOqWnU
h2Zq3PcRRPa1mWmntkONrW/lNctgB6vdpZow/LPkCYk2KVj6b9vUmN6mIQt/9krkD8YMlmFg2hKj
XHD7i1yEQ+YQ97dp2ZpYn2MvPffa6bFrjV72s06L9KOoHAiNpq41JmTHv3iN124c1LIWi1hiGNlv
88vCRvtLY+CT69BaCrdsmicnpKQlgwzfxmxdlY+9GNj32GlfI1h0oZ5B4mzRDxTdkP0kH4WQZ+L3
phe7L+UVDHIFWMq2nm2PFPQ1MQECMZT277m9LUi80VAy8YfCsbLbHtUM2m8MbgT4seFuwx6IrCBK
b5MZZngOPRMfFCs/kmuhi1NocnMz+8KXPBGaheI/WRkgC4CTOcH3gjeVKIOilw9NVYdqXWfdqNeU
fCVrSQBqr+OUhGfFrv8tanL9LBafNAc84PV6JI+nNypO/2BujoOWCxsnrMQWof4IY6EF7gYyEis4
BuFP10vAZ+Fk+hFrLzgYDOhvyTJwydasO+vSOaOCnBYOG2ZxGNoaahhuKG9QP6pJtx9ZRDSNl+ZZ
fMC1VDOh8cHn9GVNzFmJYHnl2HZ+R1zCsOffFH+kPKvgqpp07wmpv+JWz3RcCnHATM/6ENNilGsa
hf7cSjRIqGjaryEokhdc1c8hW25MvJrcdY4QhQoy6Pz8dZqbZzoucuHj0r1lWiMYyU0YABLGLZhz
CcncZL2GnYAx5FmTu/HFMKK5LrOeoz8BLXK7urnP+rFEmYu3ZVxb+WhERM44KKmTsSZohcMOCaYd
EedHkKLjVM24nUhuR5lamvM1cVPnmzvF+HnSHM30sEiBOtMiO8+d7Kcyik2itzv9ibj2HWeCxUGK
+gPRfZM+AHYO7mEaJS9OKIwDFr/oZMlcsp0EBVL2bUD2yuTsZrXsZyeUA/eUC94lE3ly6dnjUREQ
qf3C2t/7KsuovlASZvcRBocMMqBG8Goo1eCjzlv7Peclw0Zhe5+OUPjSMQzF74aZtdfUyAkGDzEY
HNxcp5vQ1t1Na5veO9pJPDgGXrijNlUCQ9Ea7KMVorvHUQ8j0XcJcl2JYjFVGma6c9oQBKxftJeR
XB9ry7onP1kwB3CWDPY3Ww/tU6vD5sGAF3m0AC9/L1KBWITwLvMSZqyXmRFZNel3ghmqIsb+6pNQ
cqq6atpQGBRvERjWDz9PkxO/AqS2Q2DvPLPFY0IaIcS31KrvmziM7kOJWJWhRLf1siR8A9zVsHFF
zl6HaK9TxzS+TIPnYCdAEQ8Pic8cmRxEABJ1Jfdsg/M3s/DqN0kAN+P7uju2dRV9N0w/OzWzYF4b
2oiykIfX3wx/XpIwYzyAmm0/0UeaA7LgTKcZxzMyKXXV2or53UnvFkw6AHmWv3gyi/pZ1FV1Q05f
jxt4Mj9ixFKHFvXzNfPB6/dVmX5qr6/Xvjbdh4g8aibGueCEyTLnC8W4e+ydGncbI9WYG7Pp7qeS
lGBk15VJ1tdg4O0tjA9fmvHebZXilSSLkfk7C+U1Fr78S8HIvqt7bazbXDbxOgyICSDJ1ViiXsby
DDSGJ8TLOxuLHlmCc1wXjz29w/OceB3ZP0N1ldUMxioO3Kslu/nFkG3JxH8AZ9P2+trOXrTNki4+
NB52rygOSLdtKMqAErXHpPfbdzxk/efcm5CDp3m8DUqDuZcqXK6XhmiQPsarSimCak2FpG9lPT9p
GVHns4dRKLOC5zob0Znjw9l3iLo4maOMMdToY2LxZ2cEX24a4wURGV9bFWfYkLDKnpqibB6mEdBi
UGvvmyBDGTNCwx08pYH74StjeZEEnIIySpmpkKVxwzA4ffMSMd1KC9JIHgnvXeURp7mTEIcxIX/7
6dR18RrDcrgFSz9u0P2Ib6NBX172DUeFn/n1ZzgF8R5Zh3kfQoNdIdMZL54ZjFRNVf0kgAN9pm45
btkVmOCDWvtOALMhY06QB7nCGu8/pxjz0Rz19nKyGXLJqqSlSLlzHxgpxUe3kVhbc/8UQldkR53b
yPATxrUD9+4LIc3tuhYAwzZxYZc7o3Wt59QJSmwzSGifiimRz66e4oeILFiW6ZwixyJi08HATzZ3
iduWt9XEwGxlwUA61FpiY69Ygj+ERVXTWTmw49MAcXZbBs5Dxyz/C5KJvfYzK4R6jpsZ4713kaEJ
9zXNm2clDEj6GUR+IxP9cz3m5C6kCgcvgAdN7rqSEO2D7JjPM+es7us3jHri0ZeBfd/JAe8dyJiX
usZJkltmd+MVrjiNOfk0MQO6Gxn+oDNyxCqBbn7pg0EiQTAXoXQzJfn/sHdmu3EkaZZ+lcHcu+CL
mS8Xc9Gxb2QEd4o3DlKUfF/Mzfenny+U2YUsVU0VqoFCTwMJJISEMkVJQXdbzn/Ody4xjBMwJFQB
X2D3Fuwkyqb6rS/6ByXyBAhOV/ivIgMICjUj4GV0KHF96WQsSPkSxTqmTL02TuVzgVSkc7kx9Bl9
KFF0mULHe9LAYm4xISW7qnCnjVnP9RYHen5JOQifLN96GwLy1Vav8qOkEIClGq8Cwcup6ZdgVocb
qPruSpppfDbpuQH8a3eY5obM/Yr/12AegQLUmW54G462uylYISq8Y5KeMr/wu6OMfZmvuKUbWOgR
4a9PKo+hJyuLao8uH3eV2ZUcTEhQrCgk6SNssb3/ZoUqlIuxrmG+956K2Rnc8aEGTP5BbibcuMRt
vv5bJKb/QYhJAI+8m/94Ev4fTVe+fyOW978uzfvndx3/lYb0ly/wm4QUeF8sphwuSwpyj0DG+08J
KRBfAiGZ9ThA0NDqHRTa30fiNoPvgJEIg2+BdksG9i8Sku1+cXnQJG6IwMGUJvx/RUJyfuqof9BZ
mewxMPBMxu+maQtxncv/USamiavDTUKbmQUjYVoqM1c7uAaca6U06BjLB94THHTYSQ3ujoe+LjHF
gd13Tx0qnLtIujBET7D02zB5zYUUyPzcFD2HtjG37K3OwAcsgkRmQKXBekdLnXu80sOV6bwIeeMI
cyax9cp5RNGSBGUXDP4sRohloHFmFJeGo4ZDqi5htZrxlEbczG4bnbcTIYHO3BKGwsuSgD8o/TB8
qJxqQPGeoKmxTKsLewckCnSw9BJbrvdEuy9Ht0gXxmcWKPsg46Hdly4db3pscUf2HM34U8ZFsErT
JDlnScd5Moki/VVVLhZw4TNZIITYPE1jNHzPPC6KoBeH4hP3u1EuBidl9FgYztfUDuP3IhlC6rDz
cl2I2nHxr/GGr7Qne2INIxYoaCV1uNFBOf7g8t1NXN2CSq/6vOl9+pXFdDdW2ngJcg/9Qaj+rHQS
69Vg000X8YHtCY/5S7q7rifXumofRGOQHCWwQg1F14U0Isp+M3mq/dpzyHg0Ym0/IyKEz2ou+EYP
bRlAYnCH/rHwEms3gDG+UGOUPg0BPr8l7u/y6Ndj/DX1yxiASusSouWz3NhhRoFSlLvpI9f46DbU
lS0XocPzvhyLntQkNuHxKYgdGtbzvKCvHT8CWT8S1MRsMQDhUS8HCM5rVVCyJeeAoY9XZPldqxVG
2EyRLkZIBAtf246mRMQBehn1AoeaBanrKssFvYdptB7EwuDof2VNXcFCjcjQKFMxE6Hl/EUsx57j
B8BnJS50s/TB4FWunSwhP8dHx8uj/raGJzY/lHFfQRtHENbWqqLZ89zSKo7TVriRu6gDVb/6c12z
80EIJiVMQjK7eOlYgPFSs6ODDZPU2H/ksJg+4BQA6hjBTDcS8ATN6E7nsXbhtdH++h7PY7+vnWzU
H4UX99Y58gj8LSY8XUvR0bRnhaVa1OgDP1hFwiW78wyDSRBYNbp+aQA5WzTKoial09OyDEW31Ym6
ogUiUj0eLbYkSDoEWzeLiPmlTKjCspnuXQyT2WIYAxurpZs2R9JV/veMPD42S07/mTV2a/AlGVyt
uNv3KchPa74Cr/G5Gfusw1YuaHc7GgVFWST8QJ40HYdbMkM4ZLoA9nJF1q0v1AnYl7+YwyD75tsz
aZGmTl6SlkA+FLJ0M7eBvpe9js6VHw7r2vejRy3M8p0KTjhE1qjegQFxq2jyc+XQCISKTcxWFrGz
YwcPTpWKXMIHFtpQ7jkbDmzdZlDDR6NL/RY4UUb6iBTjWxNTaF30uv80ZTOtIH0X5zZ0qUbvoY+Q
9tBwvVMiMPA7aUp1TOesEoOyxRzN0Es5yhP+YnJLnY3/lnhO84PijvQTaS/80fSzxnPyE4yTIky/
9kYXHIsmLvaV6dYfiQjVJmnj6GzLAsWy4R5t1mAPepn1P8LYBOxPFG2TUeZ8R0pP05nb2OsEyuCW
C6byrwBKDogUZe8pELHpKkA8qHpdQSekX/uGyzwdO7ky+oXrZMYTvyGvB271W5ek61orm1McsLFv
ihz+3ux8Ir1gYTexNQTr1hLQIB0nPPSzN66qxmwPth+nn32XcvxBJGMU6GYl4BI62/Le9HcCS/fX
OrfMJ5Wb1l2Ns9hkKVcDa62XHBT6zh7sXHbquEBtcnomNgo14iEHf6z/2aDQ+cXv6JtMP3zHl9d5
oXsdyfz1DmbO10h5Xnl7ryNjuizbKDj8e1YjYmmZt6zzadr/XJKyWeDHFUb7OeSeedP2DA7a2LBW
vy1QfCzR2zVu9/silaAZ3nEHmJ79KJu3YIar28EZwi2ksyBfFDBbjzKZw0uAJ/LooEk8+DGc2Mwr
gLC7QxKu66xM15Wd9rDjHOMjr3tu8c6Ug+ywo2Q/GIP+VptYuudrA5+fwWWAnWJA+eqlsqAKovz6
u79d4jrWqegmsws4dE1Yu+VnXXSD1+McNklk0Y8bG9Obk0d0nIwzwty+nyoW1Ww0abOOTWbDmWVg
m7riz0FaJV4rs11c48ZbOkmZK15KhZrazC7ZyaY0V74as2/V5NV7OlUN/g5pIREdLf0hOB9sMBfm
6zaFE+o12J4QbXraSa8fSZ3G1tE0yu6uKM3qKFyYkFgNkq0DwOJm6MW0DUThMdsJ62OtLHo3bRJU
edkpEO9SLekNKhe2b7qfBifk3YzUtDd8EawnmiSPYkb1GnvuDYPR3IbGOODY9cKlJelBYDf6geXa
fiERMh2NcXRuGi7o3dLqMc6mmNEvRROqb7XI7W7L3osfj8EvLrrBbuR9HaHYrNiIYTgGs239qA22
cm4wkb4WN5C4Q67IyGyMPQcABGorvMEA4e2h/YzG8g/zzr9joHN+tS38+uJYvzjo/jz6/Xn0+y8d
/bgdlBuOCKQRI3I993VuiJs6C6IjUyNrH4+2f5GjPzHU+PlMj1MOrFP9fNYdvzB/xIlJx536+TYI
YYj7Mg5FjhLVzq9VlBngPZkgYzi9vksAo+YL7rRwpX++aj4+cM5017ewscYcYBXczAXN2AkpBDf1
V4rgPN0OJdYYiF4Jr3NuGvSuWkOEqwUgJkVHqUkfygJho3ggp5G5jJCq0dpScRwBbNHjFbM85BT0
AJKzHmKMdVVOH49oyIbVpokXNAeeHfseRroU5j1pKMMx8x951DbJ3i8qqz8XyuDO8f/fmVDJKzYn
kiPAmf/uMyFHMEj3oiz+PBP+eSb80/n0ONXf/8//fv8sruE6zVLyrf2j9sSU72oH/X+7ni7dZ/ct
/t4009/5Zb9bnmykJ2QpU5jS9n5TpX63PMkvmF9NDx3rV73Kcr94ArcQMwpJZ459dfLqiv4u0h3m
F9/2LYpbcFLh6Qisf0Wvup7l/6BWCdj44DMw4mHJIj/ko4v9Ua2SqPsmNhC1Nnz5NRy7JfD5kkho
5y3zoUc+V924iQLvVEPk+MMn9XfOS1ch7B/91r+YPG2mO1lmkgMIBBPiKCafFqfzrs7Cj4EGgn9y
rXH+xr6JdRY/CnYxxn2IgL/YN9OwT91WlFAHDYo5h9pykYKcswNqIoGc1eRsghCus82k61cEu3Rr
2oTsnAoWF9jU9bVxFNUoXSKjy1Xvdq9WZ31NjFcVn+nfeKYV9sanybX1bmTKaLUjkslwtZiqZ4K5
J2c2LmpoqUd2d0kFec0p9T9zVZp/4//GJGf5viTHgds9EL/c3Oym0J7bU0NaTOtZpAHlpYW9MAjL
X0QnseW00PKiOXpSVucujHaWy6GertoZLI64fnVbyYZs3Dq5YWzDCl4rNrCzPSrGnUP3QVRxWQNK
jeO3kF8a9weup5i6mHAbojzFjtiCt/lwnT4FIBs+tqrFsUH8O2qKhV0MsEX9eWanjHeSHsNDEZf9
vhTRtPUnteenIagDiVsxmzpMmZ8/6mslu7ZxGhs/KmzGE9lTg2mFPclFGifrkM4bzkVbIdNd7kxb
I8p3OpMLrCrrvitWJdedAryaX4lDeMG+zeCj2wh4gCQHt1Vkn6XeCfWprZMNyGcBfPGtH2IJw13v
qK6hqTCSJsFxWvvSKxJ0mvTeqrM9aBFzm4KksmOXVhJ95ej4fErU3z2LxsJrZ/j7wVf22c3MOy36
Zy5JizyQ8f0UA1jEpvpp9xB1yrSKl0PW7Mp+yB5m8JziSmXUKt93BTovdx1cDRTP8hG6RDnrfV5c
MXlgxrrmO6UU1SprYQRPDZIspBZIrtLae+KJ1oJo03hjRItouJVGGIBQcwcIaTRK+H5GPUxijRDp
XEaeASWWOMgQ3buFH7uKeEzSroY5G46mwGXTBeEpKpMK1wEmvZJ8QR/kB2AAKTqv+zZSo742pihb
ycAubuqWuVRD0Y1upo50/S1Ur3DfW0eMYvOyCBSOGmoFwEra07EdpgfT13ojOxqTCMfwJPZZTd00
k86OP6aJpiR6PjPOotGKgQ5XT6TmTZJQmTJiXChSK1qZ07XhTb6qqr3Ofqx+cRCudQfW9axtsj8l
jqspPlRxuM0d3FZ+fIhbscujYtUOFgO1fOPoYtUgh26L/MmiHG5Zp8yshiJMgfFpdWP5RI+76tHL
edb/8VIorumfP66FvqS7h7VY8O4SUrJ/SQcFUWWpugV+T5PayS6jFoYJvsfFz3/97QdDYAyzujfP
nDvangjgR3K4Lf2INrXxujZlhtw741uS2JCSRmnTOiBG0GIgGyKR+escc8KButEep2l35AODs8Pw
cyQuPdP7d6SjD6q4k5dHnsz3uGzlTQ7utU6fE/urpSWeVRnqZez6n1XYdcc+kxANPZxQWnUQowak
1ZgugGVUehoDbHj++SH9eQj5p4eQwGRb/keHkDJ9//jrA8jPX/J7htT9Ejg8UxSq/TYXY2f8/QDi
fGGzcAIfPhumLTPgv/w+MHMoabNsT+CEJjWHIZut5PcDiB1wbCElyK9k1OW6pv2vHEA869dnnwOQ
y7iOBhIh+Yf5218dQaIooq+Xvi9Ck6QGFwXOg13kO+ElakLaHP3JXSeyjC+l7duHqSdw74nQuSms
jEJQvJv+QvZm+djEowXyXdIRQ0IzXWFVypcaZ8eugFCw85mGbbs66xexZUq6BBrj4tJqtQzcJv5o
cz1sY5CNAMadmVCBNaRbXsH0QJtQdYmNhK5fJZIB3lynP+IkcXZQpf3N3JT2OcLewc1PB2+1K6Jn
uNDxFtdbjPqEurpzOhFslOXV51kU5vcp0H2+oCSx+Zx8o1j7jOYSUtkUJqTWdG2BVBipEcHWVSxH
Z6H1dRMgfSkO+TDON0bmlscqGrr7pKscKEoDDR/VnMf7KY+rJzuzxK2BhLkybPjci3quFA6FPGmu
KFC47AwH6JIZ85sClf9W8sfEBFdbr4bt1RiSu2Rd1ekEPUzJPRwKyMgYKrNtdh2OjBolYGgi8Y0l
CxT1CN4BXzF0dNb6W5WQPWadjeSDoMDnxqpx7eQmUGLduerVpYoTQMhUf3Pn8IdHTdT7EHdvJINx
HUwzNAdVF5g94OtmF3w8AR6msT4BTwh2ZhVNN10355++XcDz5zF41nJI1hOV72dESeNSzjViONWC
8lsN652N9Aojp0bNvG0zOTI4BUffhSK6wdESwm43gRGlDVtajC6yh4kyrhgi61OjW+p5fAEXOu2g
klRXi17dGBh6jBqGzWQVxSVyq+w2DgncLZRQ88vg5EQARaVejM6cbuZWUT0KvAKSueUdVdtCjC4s
RdNcxf+6kNS+7Oq2FyDh9ayXylbBprGUzWHAqajcpnwqFy3kQBwe7HXQDzR7/GMAFW9DR0H+7sYG
zCGdOAkhPRQeC7LOw1waxrJTqlpWQqpVbfgZPHZSZTvcD3yxoM3vhcjms1ULWuiHsjnEpntR1XVr
JKwrqZGhEd2kzCy0vcca2N9W5lWwda3GhViYqgMc8uY9S0bUKCz//p2hxvitZyYEaoDNm1Jp9zLT
HLurjUbwVyrCY52k16NMnDkb5WEcrzHvX9X5lrfNSA8h8YSNYyswZTxjO7el+88gwFUv8TMH9yln
TVqrhb2xS6tYVVOJXJ2yRRZxNu9CatGtBeVu5U3NdJg+8TzAgcKBPUzgWjv83ddZQXuQwOGEAlzN
G56icu1bExedtIeCtiDuykwB14Bcw7+xt7M/lid4Mu5rKYbgRvszWpqbZXeEF7pV3xnxhr4Fj/p6
Sear4cMvGOZuB48Y0qJwu+AAB9qnQ2YWEGyLOHkoBBJ8G4QjrUqpRfNhFb44OeVH2eTA4AqG/mAq
ym7KfPChcQmUQI0Pb2MnA6hZV9XUS0E0XFTmzIcxcDKsl9gAQjqTprxeR+QsOmDHfvweFk6+I/Ns
ErLvI/+cC91xGp3qQ+bm1b4zE+c8mGGPB6FPSgJ/k4Tn4rvpa0OHzlrFInvIWeQW2mLszGQMSLJd
XhGW7SSXOsFTB/LC/dHMtNQH0+Dd9nnbn3tHhdBVypTcXVvW7tIZmQw0c1ue5wHwH8dRH48o4lTG
63RIKl6HoMzsB2mlM6EEh5qPYu6/z0OFwbIfAMiSqwRl1g/ue546wGrLWSb3k467ZNW0mcUCT1tU
BwOaVmxO1vdtq/VND4xtoZr03bSwVpSQBYm9pieZ4xOKRx2fGsMEEFdlYl+NHFjtKSB4XTfiay9M
31l61/zYpDrselbfg07kjlK/jrNH0QIH0B1X5eZyHWl+91LQjAvN9R14oQ7uk3mM9t2QzrdwnNut
LUeApv7kvZgFGATGhb28LqQlqCLuh6QCAczn4fXW6xmUQ9850aBOtf+9HDrBmd2Pngj66DNTHX8x
hLCxZEtWftsPCWaopO75ABkhVQ/UB/lgZ6vuAfdYSJbeJdICNaufH83OBN7JhSMWHPFyyqxVCZF+
yBN1R0lDdarHENRej9y8oF7BfOZWmK4UufxtBYFl3dm+Wpu8dasZIOWqG5oUEALBJkZf4iGkP/oz
7urCOYVlRAMep+7y2PAk7Dz88RjkRNXusBn746LOJm5/iRL9gXUJNJ7OqgtzP3+TB/ycDsdo15Er
VYjNEUtqiXv+I9C1fYo9E3MIG2dUAO2sCnBDqQnEzTLXshyxxROav62jiIFwDtcsc+zq3INq3phG
Ql44mnT0Zlkpt5EgFt1tLWJQwXFnPZehYs4/29GH46X+CXc1A/e2N7BaOkG5B+Vy64iYqXqWMJgC
i5Bgv9gprP13Q+NPD4ETD1ti2Mal8+NoM5KfOHa92WLq627cFOBB1gLx7wIdvuKatl8pPCNuWU4a
e6AR7oLY9W6LEfAfEYP2KaBL6ZlvhDoQ9aqOttd9wgSxuNoS2Raziacibo37oAVjmDcgVgE7xd0q
ofeaUkdBJtZxr/i9yff1W2PL9jUXSXZxXQ5DPD+2evdEilwvp4T+gNEgmhAE04EDRbgGeeZchmmK
lja71XytCQjvM0wpeyuohlNbhu4xjIz6QniVe1Jbdi913KqTTPzma9hQZNpNTkhqzVXGNlWZ2mWY
h7ZxTi/jEAUGmXLVgmqeYnVnYghejZwqwD5H050H7O2mkl6yn2pid5ycnG8z38kt7D/7NmwlPhzz
OrULC/VgEhrFDB+q7L7C1b7KIwDUtiXov5yNsnifYOGmWwBV5n3BUH7jG2XGICFNakK59JNVkVbP
bIwBXvouuqM8x9xSJmqRLQ2Aa+o6xUjrhqsJTMdHERTunTSz7h6P6AyskexV2w0D3A/Jum0BG8pw
MT5Uw2gf6FZT0yIsRQn1PU/WEbXaSw1Mdw1L4E6nYlN7qbnL0yB67JjN7Aw9Dree04dLF3gw3+BB
PhZYy9YQMuelYcY0eoeCoE+Z0x5Yj064sYzM+iCsHxOML5z7YXZpN9N2fdfW9fAUyLB9MuwBFzXY
vGcv8rt1MKQjuAuiDuWo+6NvJsN76bWIMWXjCCrFk6Z7MJt0wGXN/guMIgdpqVTLJwX9IHcsn9Uc
Ve0khyb7Qamv2MyDRfsBputV4/awrhvXlJvATgJ2VNM8U8HTU2qPtQJSdVXTuhh1b0FCoxsFKuOO
8PNIUjAxXgyv6V9bMyRtBCMUX2ows86VUl5L/Yw0XzpNHLwChwnvJ5/MxKLNO7uALqFjwNXRmBwV
LtunwuuTfZmZ40pYfrBoQJS91rIeo4XT8F/CfhIfItT61s2D8SbAbXSsZ986QnMcuKhO41Z1nvNy
9c7TdhqChjdJidzyJeR6Dh1s495g1ruUuxWBm8aMDgmZQ4yunM/zTRXMw7MMg+tUqkwo6kAsoAMI
5Dh2oD5pxluv6v0TXvn0wYmt8FsTljP0Tcg3QOJiNVJHwcEQcKYs2mKPj8VfGH5LbAc3PlxNqmZu
ExuH7nKKqKwa4jpaYSGed/iRLSIJKDjREivL62jN1VPG3QpYWul2AMVcSbOP2wYLh8neOivZOtwC
NrVHA+99U1KZUwDd2UP3c85YY0sirc74necwiugttZr3AdfVh9POdGJ1VnAMcTvAowyHu4EjZ7o0
oVmtateIdn2XFA8Sx0qxcDH9cZyCWHLmRDauYUkYBzN2CnqvJ2tlGYrNXMjmNGhLIfGl2b3ppSgI
dIOSCiFA9WgmMtoRAByWo8WCJDwSV1QmpNUGlqM+Vpbl3pDR7d7SCgSCLWtB462VrjPf1T4l9n12
4PzebCTXxXPd2SFlkpV274KocZ8rVcIjSuP47t8iTfwPsu3ani3+oehw/56+6xYw4F/pDr/9qt91
Bzy3WGGhr4CaCRxYU7/LDm7wBX/RlVllWnCYfPEH2cH8YlmI2Phw/8K7+k/ZwfmCRkbWm+C4yVoi
/yV2lUD6/0VzY/cMMBL7XoD9x/N/5R1VZk06ASwe1HuShgnLG5ZcHvPoZqwTxIBEPxZdtkY3mNZZ
ymjEYUe9TYcH+tnzhya1jqVd7yz4L7vead6dxJ4PBeHkRRGRFe16119MbUgaJyKgNxENKGrHWUdV
8FDYSXSHMgMqGi6b/Oyitl+7gRLcKDK5gp7IXiKCD+kRkjMbqgZteSZFnZ4Gkaidc7XLpr07H8YI
Yn6QMr0gPLqOhGkcPKKeVYqmbwSuuRLMl1YdiHzqBMZk6/fSOboRvSV+ro5R2G79wq1XcFjUJswA
hvqTfy0/JPxJTKA6Jx2l7W6OO9FwUAlib67usS936yk2HnHmzjftUH349ExuQpEmm5Ksy3Lq5uar
cRu726AX8oZDgrWQsTutSvK/J5o/u7M3w5ehysz+sIJ6+7Nw1A4qXJiNP65cf8SaYOflqpW08QxA
i8+Zb4ar3le3pd17F2k4b6ZPb3zLXXrV9jZNlNhgYYDa7Y6C8kU7lvNnavn3dMl5OzEW1gEy74K+
q699rMc3pzCRivqy4MS77yChUjdDultL2S1tUrUH0U8L7oTimCXmh3nNNlNck1zCof1KWoxGrl4h
gEajQ16gWtlDFO55ziGKO3a4obA9PteE3Zae5Rbcs/jNEDbSlzASeu0f5FjnpzQgIgIrGvxipT5q
YX7OZE2poAC6U1DHkolN7gzBu5G4fJtrrj/WogKazA6ynIfyBoqAv5rs4c026NbLbPjrVb0G8gGL
HiOwnUiAn5SdGbd9wVnEqso7iVlsPZHm7YVx9JhfRUpDuo8JU56N8dpQF6nlODVoPQmrczy8xrPn
7eAN59xgNsQRd/5AatBUhBDT2v06sPwfCAlRuSH7U4DQ91Q0zgMITc1lwWr31Dem5zLA18b3jkA+
qtTGHatuNWs/2Rj1RLjZp8Fcv7WuDhaysJ0j+zSCNH/G488fmlnu65o7osbTd47d8WKm7dQsBiYQ
65/IJTV7r7onKM8FNzo5IYbxlmHFfTGBL6qNFw+/ONO5gkSprG+MKNm6qojpZ/3sTBG/zFqCKBVG
Av8Wqn4hsvestYOPxG+/Ka+vcU9zz7NaruTV4DKOknW/tLQn7rUq5X3RhU9OSmOdjx/0NDnT9WI9
lWA283USefE92NFL3JfxyZ3eUFLoPYm6r0Np1rdJtq+neOV41fSdIPtTq6vpLnGsJ1hM9RMnuKWY
R2plbXvY1uXU77CxX0Qo9KmqoXzTJ/aKITI/O57KzxZs6qsUl9AuxXdxzIHOt0vI08mdoSNrE3AN
3eikPQpHtccpl69ZNFdcRerqaHXMv9Jp2lB8iR3TlMNd3hLZm4w1pxxKfCeD6kq3z1ddx/5udind
cy0lN4RMy1Op1UGirF6o10kvP//N1+3ApbxQm58/F9t9T3dBhMk/6RAE4gqUtLKulb72emAJeB87
YQETtl98u31y8U0vyV1ZN2Y3REuf6Pa+jmZ6K6Lk02uCEI2sk0t/Fg+IkoyQaAxbhtdpSPZCVEuC
PW30XRXUH10kaFoQ1IwTUx/pk43WGJDGg8GbezfWnjxZ9f084/WWkC3wmQMhC8jwLROVI1Kk9CjY
1a0fN9bt0E57WdBGxDr/6Whj37ROvdGhFEu7p7ZiFkCIbfqGyCOH1gYYlHX78wdQVhZCQHz1S7mc
7KmNzHOMoH0GV9dvbq/H6EMzC768CXl47HiuRXbNm6G8r+Ya0C88CoZwqZ02B5SCYpd92EkGlNkf
YZmNYlMiJkD+XYMZTjNtrYc4ZygEr8v3bJ92egmsOzbiLRoNwxrKbA5UJVakABRLXr1uXGrfZre9
FpeI6Uj/t17gu+q2UMQ4/7uhd6mCjvcn6vxdZFpMDitzyd3CejDS6ZDRt7Q0NZATM6h2IYLr2o5w
ayPp1NJL11yayrMXdQQYyo8xiRWivYVkZniUCiRGe6f4LRZkM5apPwa3PZVz/F0TyuXm/qvftjQX
jt5+NLNpSTN8uHIw7i5s79o6UzKIFz1Qaq8rNyVtYzskwbU5ReZVbNab+L33+aTQcBy0qsDZKtKD
26of9XJWD37T2Y9+2LTcNThB5k7dLN2pMo+V492YoUnRqu/QpMUFNkN9IyPXJZc8Rlx1Yor5MKt+
c/wVpQo3gojtNhwmFvuiPmWGesGdWtNPWOIy0MT7MJA7B9Tdk1Kq3Ine9o6CwpHDlRzVqq69+flD
V4v2JuQucpLBZ0E/zinA+9xqLuL+bNEwlw8/KjGES+wZ8cdgKbTpSl8rpeIVGQ9v2ZFH3fdQznuh
xSm3i3zdFLmgZ7XPbw2aMEbhGTt2YLkNIVM/jMh7DNTpDuPCRgVNsp0sv7hkTiLvCl4Do0nnE89P
sRUFGlJSGDlNmZrn2SLXU+bJKkgN48ToPbqhlXHrO0R5B9epljHL57qVtDVIYEzMbgUG+/G6x47S
OIQUm63GGNYMq1lx07eSz1qrD5eGg2USRzQi2eFnypTiJk+TG/R5GkJ6m6MMdzO3Hdx1WcAOlchS
bH0B9Zb4xkPuIRtKUd4TawIeN5TOqchHljq4f2YpupPDBkkn1jPjGONSTSbngU4/SMM+djV/ANzl
3tJNy+4kCZqSD2fCrefgXvujdVSD3sLVPhqOnT+FSTodo9mICOar7Eg5wnOVSfcQZ/pgT1FznGD+
cJGjCTfr4Vjf9XaTr+n+ZU/uXXa4YQUusXlOqnzfEr4V3rcsSbttnErwfPVAVNN13uhr7ZeDaX74
c/zdaupbvrnwFAI4Z1Qgd7lONplB59ykCEPSNb/0C1B6iW3QHERwOcMbsAiRex4AmCYPDY5R+iSd
xZgIlNHpq0zlePTFUGzjJKhYqzS9WLTZWXQZvdixR2N7HmzLLDL3jXT38Gnkh2XTB6WkQUnXdM2+
NISBxjBs11ag5J2QD149vBMjU+eoog+APbm0xUtCS08XdSNNang5Y+NlKr0McSbeQ0bhGJYP69mZ
9rqp+nVcZbxdxoxI2ZcrN4CvMCaomthJqMbx0YYpFWpWdWl9dwwbuArc56x2dymFBssaTD1H3wxG
w7BxxZwd3ER/d0b33qfI+VV73/CR4maIroQHE6BTFur2hpavbOW0/ds0u+9sKBQ1aWq6dDOuBWkP
3g8S5cr0WPGDhqVZv9XBQAQnGF/ANjS7JBw5t0F+GGax1azki9hN6LnSVF9VhIOjBqt5XUw7MX33
wO0sfn7V4gqyJgP8yRm2XlV1j8DuPKZUfxYWCh34XDw0JEYW0o+mTesMT+MoxWUMik9bDv42By19
CipKkIrkkVT9fEqgFKxJqk2b2XGKFehNep1cisWKpr2b8OAsUc/UAvZks1HDwLaiPQvf19id2duf
+j4ptgg1F5338jAQw4V54+yp8R1pqbtnbmDfcmwhtJzSz6F7aaxkHPQHej3NQ4m0tJynzVTp8V3b
X2OgfUerr1YyooxLzBQytZ6070NEzz1Z47s65m86tpyRGxpodjVP3kZg3beuBz9Ldc2COttyy6Zg
k+k5mLkjearbfG1E/5eo89qNW9nS8BMRYA63zdBZoVvJuiEcmVMVi+np5+s9GMyNYB8ce8stsmqt
Pz5AJz8nGwf9izMsJ4+OsY777QT/+1Zvi7kb0LBFAjTy+oiL6DKdp27A74ycWZxLj67PHkUP5OiU
WJZIr3WA3Q5YjhM60E+070zB8ndaqFNrSBUNWyKS4smonRPVHZGJr5A25AFm06BDKij0sBUsJX7a
X/QWzmwTzOKUpYQBCQGsIt67TkGUs5B6M1P+O864zNN83GF60070PEHYjQVhCni22qWgCHlpeUt9
LHwt4THnEXabTBM4wo7ODyI87is4GLhaf27aFKq6XbOopvznWc9nis7n5Wiv1rVqs+lqaKSLLSw6
+0bK7clGt3300r/Uzj87vrW8ZWIv83E7NL3RntUIRCrsrDkEhX0rH8tBRgXtvaorKh8sOqssW+si
zcuRyHTaFokCvs0KcppO0TLuyJaQ9y+6PQOirqY+zDbdunprBUUnv+ZZiOsmmu+udKiqsClDAdh+
ggxanqZO7lCn03Ctt/q7KGESyjzSU0PdSTlx8QwuNQOVljjDlIdlmfscGo/kln7lQTI407x5lReC
IohAePyzcx4rvHnDcaS9Z1eVLskMuoVsjFiIJMUUFm8Ef4R4CYMnxjR/LiltzdebykRFlmaRkZVF
8NNk0jQo2tK5Dpl1TImmiSvD1W9mHhzLhs5xrG4fNfdAnBIbcE4xodrkaL1mQ8Yx5TryDLAgdiXv
S2Jq2noSTQoFubJNomzoQ8ug+k8pZ31D1f+eo7+Jt74cd7ObaRGdAyTtEhx2bp3552RTX1moQguN
YbbpiiwotaBmL8qCekxA/pf9NjK7NXhsgClpfAI7yOJynM09vOGl0RR5mZYiSLNSaNW1Hkye5Pf/
fUp0Uq03TT/qbpUQ9PBGJBoFMs4tqNsXw6nmW0vOZmSKNd1B2ovj5nr6HrkWhdAtT4kQWlwt6c8y
aCRGpZUUqcJtucdTDEj18FQVYopqLafmmWr3NdWdGPFGTYeP+dcR5tc4Z/WBiLL2s8Q/WTLnBWs/
nQLC7DOnl5ShySb21Hxdp6VKRlm8qrZeKAI23nAiVSetaa6rq/4NCkKwHSoIDB5SmLvigl4z2VpD
7ag58o6FxxZYdXLAvESrTLanqHGhc0oLiM+RjCA8tdOsgAmn4TQFZ1OrNxrN/d/Cl3dP9jz8+u9+
RLOhN9MpnfQl4Vg8Uq9rRziZiArzjPyADfZd+QTDYSfGp/RQDIyN+9vtasYTn1shZc3dT/62a/PS
JAFTEbLaUTI1hpMxyZ086JP9lM1/sE9STmPONwhySk8CGn6M94GBd19n/otmL5gvzPwgcAefi/U2
kBcIO28B7Nj9+5xXbVKPxo/Rd6j4SDcj1BRqPNPEMjxI2jxc63kq9MNaknS0tsGrKUd18KY8yjbr
IG3VhsRIjWHVEUUIs2KyPxfT3cUgGRH6ERfGUHyVNPPNFBkeM9OswwY8/eK4xJm2nQlqUL4X+mMm
N1Xz6MQInVlZVATP9H4EFC8PBPCQMNue5Mkh72LPTt3HdW+2kdNT8RSs/hqunntozfkjmCYraSlQ
FhxBw+b8HkdDD6u6uzd03iactA1rX0ikY783ioyMovXnvJIGRRo3IV8YwRp303HrvpBkB16Ry/zF
Jm7RNYVGYBjCEYPolZ3RjnSEruZ0QfqA/9m6LWbpXS0/I3rL8OfY1gv8umwu/TA4kUv/JocZ9ysy
SBMBBLtICtS4U64AAjHcPG673rrXo0RKK/Bfq4nMMCPTD+yj1m/Npmw+aLF8V5pr7aVBi5y9BNrF
7OCFF0ZjR/h1TL3ycsa7z0QFTckfVZfCXfUEgVIdew31Z6ZsBjIqNIOWT+aGIahiNC7Il/1pS0an
P9qIUuLKXEj2yeEmHJU9lvZ2H6D/1KfWuU8IRzZDB6rM1j/SU8NhdrYpNpuV3tE6V/t6pX4nLfL8
pfS5loEld4O2ec9pgH1abzly/bEV52KgngRdrqDb2gEopKyj+ZlmpBLNBq2oJHI99xKCsHIupabM
W/eQ8ziW4hVFChBj6qW7t7OqBLHx37Kt1Mnk47rl/vICaNc/50A6bwY14H22EsDnd0k6ZpS30+EV
VQBcka1N1OWq4NmcfefgAKVQIVS80Yus62n+d4J3InK3te85avPEI0J5daoy5uVYXtrPpXa3O0og
pLjhOHb+vVekyoFkHP1ci0fyGnemw0reN2NF7JvByNNO5nHoNXaMqoQzA0KsYRGPmlOGdaBVT0NN
T1JXG/fepMGMC1HyotCdLqp1ucrVmg+BcklJqMovTRpFLEuKXTloZPdIUckRxWwddVoYVnU3jxru
z2TLp+eFEKed7tGco3GaElBKJMGEGTWk5gZ35fKH3XGvV+1vwhvWJ4tRL/OqFJwkm2NvNWkoLoYE
LI2+ZFRHKIr+ixmD/OzkS58vp4XaF5I1XTf2tHd7NV5petEonYdak7u8Nw/C7B7FaNR7lY75nbe0
IiirPLD0vo6eRpbhbHO4IkcIq3x8G3jI1Yb1WRTWElL5dHdUdzEIGmdEqghfgYjakVJjx5lVnJ2G
k3Mhxa8T5Z57feSNmu56Q8qTu2IPJaCzv1Zo0IXJhFOrBvzDgXqHKrtMFBWH84cduOqopwVYjImK
wQVA1rb5SJ/3T1FWQ1JvQ0K6HK2eCyKnbYP1FJ5POWUDlVmkP3lEDqTzU2xAnJIwZyMsPDuL04zG
SafFmAu18WILNz+rxR+PxRbsF6jgQ9ZTPyekSoTpxksG9ltKn0JM3WtCvTBekIiEgsJ13yZeiLLT
r7nnXgVQJgivSU+Efb6bgY462uzZL2f6WjpzfFyrB72SVYhO4KOfn6aAzMjU9f6pPvvsyKzhaXUA
iY9Fz8JW16YWyy5w4RwCuoOskf5m459tsRHakxe5nckBsVkwEBVV7KAZ+aO/qdHt3+TCOoc8Yw8s
qGCmpoKkf+HGmmPkIQGqIraIfdpBF2/0staJcjP9dTas46q92JazHHyUXqorf8iJOsHBcr+7phF4
CeoVwnOlPZIcjLDB5k7JmrRCy/S+xJL9Sv10TAZNT2MNPnE39ekPGo+RpYy6EXbSotcmKLBwa8Oe
3KW3anJROan5D4WuQzxbaN1U4T/hwfgzUK/BukaEimn/wYxgj68V9yk9zqBvZvB3zIxbqoOroIn+
sXa4hXsqPxfOwpUYw+eOTi+hDJKNPCvKpDFGhpTlI7IWmcrcXKAjZ76r2mP5Am9rxXUhTtGzYW4H
BKuMOLTogqZPoOlQRWsHVAo+Jj9QAxB/QbpmrNVmkhVevZ8RNDAYzWesOf6Bfgi0eeeUhKKYIZF1
Fzh1tMoqWRzQt7rdsKUQGeGBmufDlHg8Zdw7P2fLkjtX0U4ndZ2DojdpmQ1eVe//Q65gxqKko52R
PtRqw42DN1GI9sRGIvViiHQKVuZsDhHmJqvtQmxLKifIY9hr2/IX6O5YoZHkyXD+mg69Ca1D++nY
y30x2zNNo3wpIZ2y4mPQ6QsbeHEPmQbq1dViXxY/kTa9r4ZTn72ufNEmsjS6wCZ6frJ/8fMnX/Na
rHYVZ6UBbgr3745ii9LU+8HW+6FYeKXLk9YtIyI3ReayPjFwSF6I5skceSomr1IRiWcilNQJzxqN
byl2fv6ymaZtAV6/GepqsAzuXJ/vn0ouyretH3IMmsj1vtKs40S3UM9Vc7+EDMYHRcrxLi0BLI2F
wmXXRhlBpMhBQ81Khg9KtI4gR55cTrTWCt6rwfwXbCQce+kBNo3hYiCrx7Wd2FbGvrPSGboDkZpG
zV1rtNNhqm9TiVZ5JopxVxL3s5se6oOM3uJotcpTIcne9JxE18nV0leUfLOFQqtrwT107oH04WJy
p6qKHgFwBPejTwCc301WuaJAACPJm+lA+hDfhHQiqw61R2EB0EFLRZsTcRvDHhQZuTr+fsaGf11H
/ukbT8IIB0kJzOumsdClisdzHhX7bXmrlzZMy/KPCdyJdCzdKWphbPvx7XSottvntplucjb/NU75
h2aTnA2oTIqZgM7CGX898hi0Kfce4rcRxZv9zaicnX1pER2wdeEkUlKaff4VJTWU1aq9U3Crq/SP
WtsfDiTGGOh/9ILkhBWpT9g1DCM2RGzIA8ZtXCNpSWEhUW7RMqiNXVh0L/7W2qGohvuWTgVli8XJ
KOxXo+RHtOTLc2uCjE7VyF9kah+TG7wFy3C1ez6CrA+w+ABvro/kIj3LvqFPbn4RHKaNbDNPJ3up
k4ZzqI0SHdMyIcQBB6RsOFGoiEJLC+6szuy46/rbFoLq4uAznx/fZV+8Eb3r7/JiDQvHOy+ZMIDv
hp2z2C+djjhqJut2cJDfZA7wFh+wPbKlDDJ9h8yR8TQ2tHEGKmKiQzq17MeaEWfqhwm/TZB4/pOp
BW/Q3oelptNliYgTPDYVGFqhZfPODhZJr9L6XmnFK8qbp0GTX7lhjKQOTZdMsk3bVYdbxrZu2mT0
B9GBBqFii/P/1D6ZuEzkv11zvaeWkqHCF8PVoWqe7IcrkgwU5QvSlZ5UON5px18/8eC0BD81XI1F
ZuzqMTCurif3I4W3r+6xBh05B1O2nQtiffa1X/3t/Xx+4ZX/bdiPgH/X/tOiKEnbwCYkup4j2h1r
El4ddhuffnoxYM9aVB9pjef8yPs/rVHSw0jwOosyKkYnF0fPq6eT0J0/EDuf0pRWAkfcf9YzR16w
truiYVjsS9uJCiYFehFT6hFUQHo78xwWCfKv0lKPkLYzghkyo9yapf6RHePZ7O8WRAB5W0DKE8pn
Dd+RobPVkyIimLvFrNG42jsmVaQOjeSFF45+erUK0iwg04oodRSjDrAbATLiKpR/VIjk8vrPZOBT
g8Vyr8Rpmk08rIN9rQkUiaSj/vI59M8IEMZwbJztDMpGRProOLHf9fMj7AcoRaJLj3IaWWMIkeDo
MeZL+XjcaMqQdVPERO8UkdkExqNllbZHPrKwot12zORfl4pjrTV/kgp9rMYtMsktn+v0qv+Tax8Z
rfZM3LPDT2D8Qoh4WlLEUAw+/hIbpBWF9tx+B7WKxdCRwWUS5tJSyozeHSOgNE55Z/1SW65AtX74
Cypu5mDOQy/qZvNp3IBerVn/5VaPRkr03TtrySFiroXmvmsCRlzgrdxRF8oJM6WXWsv+uYO46gEs
2ohvUCko7tkSVLQqwkmRqfMSnRpZ5+fMcD84HMhWUtBWQXtFyO7uV2ZzCnVltstVdiKF+F9g0SI8
/LOXSg/9tHl8l1eD16dyrsBIn1vQJHZdRvbWS2aCNi6NMiAn6kZwtkg0IhfB3yvcfD53FLm0I/Fa
aHZjf7qrn0EAUbYZFvNp0PNvRwN+QHZ2RfuCto102zj3UTR5CLIR6mtvdFvSm9zPN6H72UmZwxdL
eX7NsU8cC6O/ELqGk5DJ/ojewXzVx+FQEu72XRN/P1n/Vg8ArM5t4+4rTR4K0sf3ihR3FhILk2bt
uBcZILurYBVjnV+Ivp9uKOK2c0novgQcvGBs+WHonCQlpFKk2D3ClunnskzNinXP9RLLIV7zYUSK
kJzC2Q0DFdTU5RqdXSSu0UlijU3MLkG/vZmp/W0jLDgjAUgTum8sztSavkcQMSRoCNTsQruioNdo
b594vs4jWRPnkUhZSrC3vdd23iEt+/xVAzWpsrwn0FTnng+MJjT0Mr3Z4psCZ+NOOlZNSqT9gel2
PpfD2CVFGVBxpRMebrhwedaK2LQYQZtJ1iCXXK5xPj5ge8/FGQEe0pvzoUFw+12nAv+kO2P4Wenr
npfGDsmTpxXAbjnNm0DtCfJGb5MubDbqb19o1lO2epH+eH9BVGA12Pwg1ABPEXsaST6SXypomDwG
gzWFPdajxABACnFLTse+IrbeCCQpeg9Qu66dPZLk60iJnrlSrVsSPvwye1DLkjs27oz0TvIz/QTe
QuZowARSm18O2vV4qSi9Ncvx4sBDjb2vXYA9vkVVmyChVABIqnqz4b2RXxtvqg9C3cNDP7V69Sut
AHkdh1e0CUhqqsV376XdvgssyXaWz29tjfCG5KRB6O+t7vzGlbWyPZUf5pq20IJqC8HknajV5bjn
OuZ9RIP/3Gbr9kpKKyhB5lJwTXRQiCR7Srot8B4dHMwErZM9kRR6bsueppi5HJDskqFnYR4lIDWb
3+bMu+Tu/EfTs/agK1gvY7GDU+n02HdlI2KCdB8w39KitUgfQfLM91g6wZJHj9sEET3F28gi4pqY
/aZdwrSqszcurP51Wodom5bsbdmSeQz+aHldJxio3X3mLvZxEyakyOpP0dDY2ifqqWepWudg04hA
aqKJVnqV+3ogIC2D7gTy9/au5zYJaPRAl9K6su0Oa6hrTNVlMNzbbjJYJVm0t7H5rmjA2mHXSoJ2
iIe6TEmKQ9Ash60+IIB/aewguw4Elu3KPghwxmjPlqwwDgSo1VzlRBKD2CuxyE8rj2PiQuiFpg7M
teadIkkQtKe3HYLj8+FEMKPa6ePiHh/l7o9a5CEQ2tmnK+4YKO3WrbNxWdR0tHXRHIvJlXA7dpW0
ho2SoJIf3oI/hdbc7jnAuKobXvch2lcA4ifd7WtoogsauO1nUcKLB6k69iMhaq1N2GpG5Wyc2o3G
xFJ8lu4GPo58Bg4Zcof3OJmbZb0ZhOiiS0YMp7n09TqZQftDIB7Duzj3tX3ogCEDVdVHQ2Nr3/i/
P6qCuGvcvnMvldvQiMGyccOR/ZY5wbSfu29fOdfgUUPp2FfljMdAR2MGv9kcrB77oBlAj9YPWn90
kRbl+RcB+ClBdo/FqyOO3JFlglicdXEws73Tp9Wj+kPhtXX5XDEYOLJYQk1jk634fKjX7vSdZ5T1
MfcM1r4WuNex3QstB7GVk63n9eAoeQPv52UsvK7+ubSed6l7i+fFHuyD0ddk6K013jsUvmpYiVPU
hmi1bbzYOhu1aJBAOAq5wmiuRHgT6E5U3vQkU/u9UNadHO7T1m7iX/U4/P1B+9St+Zl64eaS59Wf
mgCyaNDdM4yaHncZiuKy7NX5vy/5Vtw7m5tFIlPgNkfR+JXOU3aCwsmAd9Mjw3n22jXbX7yjB71o
8x/50HxOTYEKulsvC6DxhYyMb48I3q9xBfuzM+OYbVCX2Va4dIIiLeESc0NvzCVkb/AGCN3HgSA1
WG0MkY5g1S5UL558lr9nrZ7PRgk70bfzc9H6lHS7/WvtfvfTWKCYXlgsc707qRw4pzexE3A5v0yo
sl1z1o6DPjz3G6BvqqMkmmQZCRLWI9Pj9WhEUvnQwfjl0mO5jXkULEQs0lAC44TQBiyuo8QdTu6p
3W6V51rvHqo2Fy+Kvw3681DX7+RHbKfNlG+Du8h9P04SndynD19FmyhPEMl/VM33zMUoLP3Phpsq
srBP9UGmXkyCVUPvlxiG7Z6uox7Wm/oIXA4RGDyLFKZKnv3SfXJEh30mcKJMr6tnm1z05/9+1bam
/mQ2kAJO9QSNTRtHO3kxndkJwjYvXAlWPq3Z3EScLR0eUTXvPU1RXE3nC4WJ/rjbZnOJzbm3orys
YCSbaXu1ztZMLWpQ5e//fWldJAT5kqTLbF3V9qX1+fYDSeRwqJc0T5ThO/QYdEGMVdN7NYlMjQcD
yuS/35LKpy5umv+BrokNVB3f07IAEJQZekFKlMhyrehzc8XdQAsRGg0ntm/CvGxdcAK1bO9Fvr3V
wu/uGPN3WeosbyhcUbsbzbRHcNk892P3z0j3VM56l25WW1LriPlKvmP65KxTnnrN4e8G33x3nbq6
boX1PZXdvEegA9/gHEaO0otnyvxapFz0i1e8oLjCMKiskGp2iCTdmZ6DQTynPj++XLXTTW3dC8YY
92DsosDS84T/OMokzGqR23sV5fCoPDxfpCF6ovWi4JMx9AwiLKZ2SGxexzCtjemEgjR91hTFICvs
xXRHDy8vuV/yBHbpeJnKivrvXvzqXMB1Ubvanqa8JaGSkAjWfB9oZRpb7mbd2nU+9rr4lWb6t91g
C+s2eGUjFx0MPBhIPfdJ6XoeIrnW2+eUUKEzzgjOI+S+H0ccEo24UA+AEZGFFfwtS4aaoHAPkLIc
9A+rrXoQDd0/aiNAkCFQTlaZbaBcXKJcM+DygQEmuWENHEGv8kZ+4ziC3UV6G1aDxgzgTt65QRx1
dGu6g4u+iLSRUoultH9tuTSvj2aG3Sdx/DrFJ23fj2c1k7PrI+XMWbVB5C1Plpdh1q2I+4y07/+8
LGtB3EphnyXH40WO+hD2Paf1ZAjQg+CTEsL6kllrKLdVnbdXz2pCUxAl6fqqw++iymRMHXSItbG8
rKbx2yLs9mhJLg10JhfNHV+KFda88qH+UWXCWkGGkWrTGM85All9dO9d6lGNMKs17pX+maXuevRc
dISPQYXaI77YyI0kzrfGc0egJsJourUsyewI2ogesSM2jiAxLKknkBeK9JPGCI3ey47S1ZzYS4ku
F47WRr0D7qPZNaeKao4jWG3ve93d9DN0jN18wL5CtPrsVFf7hz9PYo89BFchqzm9Xf/3Bc9WG4ND
WKGkSGOpzBtIQHviSMXfOk7jUzacDfiFU2Gan716shyGgEyI7DjzR6TdxtWaVvEk3QSBmIenKKCk
UqV7d1qXA9Uh1LG6tXMUj4fm4QH6ENnyheTw2KoCG1PgYZzj52enNWqO1KkTsikiQSrQhXTf40Qi
7k7QbRJLiKZzPtiMLvWKPsPQsRh3TLSLNPwnop9XRE+2jJjj7T18okVLK1HE7JTRmGkdT1thEycS
ebe5mxm/to7bsi3+OjIF71inc/eQYExKeyw9EkBDTJju9FUBBkOknIRG+vKuQKAdrvPmh97jWfL8
or6sOFXgSbYgTwL2bEYqV9CVsf7OckK/KfpeToJX4/Tfb//7lWMuP5T0/fj//6duyv5iGEQW1bjz
qbDEizv9yBA+HTd7rmOro6tIm4Abtjmxtg7yNZVF7GYY3vJuSsrZ8F6djqYwWbbPdU4aDwkAzV1V
Jhu/gyqvcPaAxhvzo7F3S5CKWr90LR2LchDvfVDSlENiOhnTeAmE9+Wl8AEQl5eGNKWTU8xPDVq5
nW7CqyMDg8WoNU61EiA3d/RwEO1b3fo+Z7Goj6XqfiGNGJAqG/2zxhNOQWYZmTNiD/L4eZJTalYK
fW0YAHxzry8OKixaDo6LaaRxKzMrIsinu5V51d8mMfzzsuyzNLQxcZ2lYUAsvBer/z1bD0uBZPzg
zGD4p5dz6/sPy3gMdE5R8PPol93IFCPQlmrudWPWO9PSQnHM5AQRLPWzL2f9RWtqwskhNC6rBENO
i3MX4MywuZtIazT7HVkJv02HCYmY6i/CLfa2yihAy8YE+yEJLrjF/vs7Bm84BtwyLLPbEAnZOXGF
0uPVL7A8UhenovExuZXNkEa6MK7+uNSfFMUhQWlGpGlWArNrUcTZcN6mrvM0ORyxY7+FEHXxjKYY
tdomTsNKUR96hWOWWqQuIhi+VYN84+Mj23qw7LPqap8TCKVvtn3qTtP8qH29PDZpy4Sl9RwBensf
nOXqsVeHkuDbyzZO7QfWsHBqPcK9TeidbdR1UEfTZFbKs5cJtp5TZEnPcPx/gFkcarvQoWcGByw1
ZM2T1o4YKEmXWQa68bq5vvter8WlHxwXP69f69w03hHknbAR4vwk+5cP+cc0rNtblzW/y8ama7yF
sgrk+FGQ870NqRUy351Xdxoj2jDWG3jGGOftX31SSzT5VXZYDBsRCtUqNwM4uQCgvIA9qwMafQ74
xeVSSF/GJfg1VHPxGgy/iwn9iuKaSoZBexXrdy51cvUzF0MzFSgCZbUnIIDT2dfCwAymT6AzJ4LC
HOIyVT/XF21AxkgT5G6GKT7yU6Qw1/G/FxcqFvA19LysfqJf9gstTVim96GYSUmyFE5wiZidlo9L
TyrSbua/b+tj8SIqlhJN8GZRc7KjYr7Lwt6VqJ6KYTdp29Ms+w3uWvvuLb1Ae9GD9w6Z9uL42BMN
o9eug1FX3E0FodNoxyPHbdLXkgVih2eY4awtpgRPaf9io4FoDM3g4uInOyietZbp47AuTo49Rr4J
HKevhEEgq2pYsr1CuGHRtj/ZZg5AsO3ORhNGXcv6lMEbLLpSz6hWm6SpfBlZWpXfvK3IYkxX5R7+
oFH29glsDf9OAAqSoVRHgjZXMUFaRpgb9TXDRgm2Bvvmr+gJyp78okoGlB/4lccW5bm/UIUdyB+H
QRfilmeBv5/MH4RreYm++c7HatnXMeiQxcNMPM9cQNnKBTSInFAyn7G3Q/nabPMYMcX/q8mDueeF
sx1Me5j3UzuVh5LzlUuQv8GUCoRfo1xgZcFas208Uhf8VORzeUXiXF1pGSmvdtfyQQycoErL/uZk
qpxMK71nbJ8hh0cX+ho2sSVbfwyrmd02i4440fM0//dbf12tPWlfHblrKewDn/YO6ecEPOEHN+Xv
STSxn+1I7/sCr8lNeH5D8jm/8UCjLh6ucDzN4BKOg5lrtUljKdeNJJgFmhplBsp6AGabGHyma+4K
8NPGYN02czTq1oyO0MSeDixNmo3yz0uvLdfp8SV3MnLbmuWNpQAoCnXq3lQmtM12xG5i3KTjqXvd
f3BDryHV8t6eS6p6MyDKj0VWkKDvkudF/t6/Hq7m3sDwpu10n7XMv6FQlRq6BcueuYSaYbjnJQkq
7tzeSidoL9bU/8QJO9+Ar8Yc8YOZQfAuC6U4JnCK61xyp6Qsp0JQGzT977JUw7ko43SxthjbLlvy
QxTVzcFfbyR8o8xEEKFjQQRj3VbDMM6Kn3lsLMFZnyFv+oVOMKMB/yL47q5pE0utKBLZu/8elYpT
R8+A5XuhxEWb2F5/oExKZzpozSN60K4uPfZntParK4Gzm3LDmkx1GGfAxhoUNActx6K3WPfHkfYN
9ksZ/eheghS1ktc3eC229Yfd/cwK/oDUivGtT/MpLqjXosGv5FrVlHebcrRSwqnO+LzLTQQnawDW
M4OMLN2B7snAGRj2sE7ErWvpoZj1LCHLn16NtIrouBsuXY6MxhJLtd8Co0NkJGuSk/obPYnnaVW4
ImouJazmG2sUBTp2qX2mlv+QBEt4ZBDoXV7BppKG43+VLH3hqnOA8WGxUncgTegRWCh+WkiLPjVr
bllfv9HSdx+6DhPpq2Xvi8Z/ETqvrWbzdNvrZL8H9fKy+K4KtdkHn3Jy58WxzYgdvrlV/m+t9YK7
b2WEVNKecv7vt81WY3mokDESOzFExWMZZNro78JNNu5X7BBZizrfehMTC5jIoB9zN78OhQjeqtlV
JwMykjt5uVKJ651zOkAACF2KxCaNMiD4LhRjWvuyxIKooD/jxNQ4lIVzybb5FxmIfoiX5GR0lnGb
Qan6enwRMsjeU8nVPPo0dQzWaaqmMVbCMyNnK+VlmJT3hJR7ClEu+C8jMCPO9z7xxlbe/Ynnt840
3BYM1RkcXZLhrIGuJDRHq6Gcxqrkm6rt/qsyMTgMgRRcItsvIP8MGGs9KNKIfVmoY22z0NQe35Na
z9C++6HwxFPBqU5B5XzvEcrs+gn9WGVgcnlIJMGSHDSf23AwF3RdJMcbWL3BEx+lIHhSHPsilV4f
ZuW9uM0oAWD8jQwD7/ci8WFQRH82YqdfxJOclSJjcP1qvHrdE9c0IaZInNJrGHRy70or3XuXOcWR
LEboEzAlMcBAWqBdtEMYr4Wfujuf/pcjasUNUg0t+YhOSDdtMkLWnzL3zNCkmCtsfRZhnSJAYVJl
0dRbfd+og7gW3vA2wtTbHBt7ajw9zOSEWeMlvzmaOHFjo7SxyvtIRtLooi8lQLA6djNvfFqKJvKm
FoFRBovX+RaVEsrHIjq4TlKn6T711XPddSMtIdatGNgxmIp+OcMI2RFkbWLJ+oc5NkyxHqheMGl4
wMqDuVb/Goo+r95EavfYN1iD02o8D5nN8fGg67YSK2n2bmUNnbGpftMdkywDVb+jwUJDiBoXWWp3
0MohffNrtZcryQxpU/8lb2xFpzkeqmaAxmFQ2ZXLg6aoigJJ8ERyVovJ00bTBGV6SNUkoxxPbYil
WfGRm3G61ltUVP/D3pns2o1kWfZfclx0GGlsgawa3L5/fecTQnqS2Pek0civr8WoiAx3RaR7RQE5
SKAmEqQH6TYkzY6ds/falnXRv/qmoVkKjHjVDUptiWi9K+06WHGPi5ULSDCI3HyXleOL5Iu9yycz
PcbkedVhMK+F2zODS9LNEKXvYekvlIhunaScPThXMCBBWAypRRqbITO45DP2JcfcYNCxXzpD4nfu
4iPzu36NhnjezEQqXSjrN5ZS1a/hyCUtOGbNTREdOFMk7lCtSUqLMMN1qwHH13UEdrXqcSvscADg
rqsroCJed0Le8QVBVEFpRro9Z/EvCQmThE3w8FIiHSgu/XUUhOlXQju2aUHkaN6S1Q1WhwDhEhrp
hNPmNY9hXGDnEL9qUz+n5jIH7ajU0rLtD1je3sPhvrKG+WWYih8V8ZywDOpyjxgWCb0T3KdDQWM/
RXrnDyUwI8ff4pklnFHgQ8jgamXCPRJvjLaCwcu9T4svLQ3/MGR0WVVW7H1PP7oMhFamMl/YjBlV
wjJL1ABUouyNda7poSs9iA3n/ulgEbWHExxpgTsfonHEiZvDaeWEWm9CTMQ7c56I5o71obdsOK+R
8+oM7UWYbMGizR97elQ8ispauYrnVBjRvds6zY7Q510xITJBLf6he7PZKNjyHFZSsK0vtl1UeyKv
mIcsXVwcRieO59YFzvuMv4HnPEoM5xDW4doJEw5NRXOyjJpIjd6dL7h6CYQMeUYD4pLPY1LPZ92V
EQK18jK7jrGjg/yae9EjcUPZF1f9GPrYeisdD71UJleuqZcugmGsOpnVWxlMasd4ilf2spubIP7y
hNQnF3U7ZmiiRYr2wzEIC7UJ971aiF9XBBgW6zJNMW2UIFNcDmkPklEQp2ziiPMqrg8RRvBdWcCl
cqehXidAM9acgPvQy64hyUc4JZ8DVCKHCoQPaxfNyRL4Ds54Roo+5ykUj3urf2rHVN0HUMvoaIz3
luzNWz5l92ljQTccg+KZknJXNACqnCH1iJyNkeEWXXu06+KazknxjTbUlzLVL8Tr0ekCKXuxc+Tw
hSvZrjycaD2WS5d4R/aeEjLg0lL2aSwCkBP7zo/C7SS7p6km0Tme6NcyJlhnqR1ubIaIVi+uYd5+
6ZV8jbRdbAamp2N3yeSdbdZf08SCTNQwPRJw0E4OnoznLPHoR6IRJ7y12gVxrm626Q43V5k7BZj3
ilw6p6NsCkVXx0RXi+FqvA/zfluBfMXS/tCOlXemsICJxV6JJhpVmuXPz2ns+I8NgkZpZ+j4I1IZ
l2MgrtIP5FceSzN1WDGhxU7GMrrYEslWFxX1pmhqFjWva3cBdFmiwt/+8r7cWEYbci0ROkddd8A0
RmrIbB2QQ7v7cAk9AKGCjtbApA4wzgk3UAiSdRD10WmMaiodR7/oPri0wnq0epRvWY1fpOqAKmNX
rzHzo+sX35rFTtvPbr2yddMfiZg6l7Vp7gOrNQ+jYDdTgb1z7OEexk16/csvWNTDjR687sk6V43Z
slOEEOlaIj/NMuwfqskiSKmh1d0meGmAp8XHoIXaMCv7ChCKO8CUxi3zy0+h6uksvOKJlK8cr01x
8mzuB01fc6syXiVLKjSwulyp3reuRUD6qWqTC34V887lRrpOMngS4XnASXAi//nk0ZkrQojNRqut
B0WVZ+UB79vz0VIhj/dwb250bs5M1A1rzUAP68qomGAiI1yHemZKYzvdJiPocuOAXtrNPjH2BFTu
llzBTQcMuHbHFyLsDKaUDIUcpsZXTO+7LqLSJ++aUM3ikWRs/RLDeka1tq2ComFN9asr7fWtl8YW
cVZphSWBxxWH4zJvzznE2e2mK1E/OqZ/bsj79Z0GFdPcv0DoGOh2cJzO+kAftKVYD9BNhv1NQ8f7
qDJAiWaZ3cd6qkAzBd0rf+HYJWyNvHxvqW6ABRcTfeghPkBCZEK1jEBUhvnTzCv7ofMYI3VNam6r
hFBeI44p79vQYgyA7KHJjJ2Fcutg9Q2FSZNubTOeLsRkpIdm8u+LVOpz4WE00ulyeAAnQW6yc6Hc
MamC4+Eg7fZ73XQ07xYZXDwtbWFc1QfVQz2GgJqQXgoY1rpEzX3o1vZeUuFuYvAIFjg3kjiRCYsk
Oyv1Zus8vfh18NUgpfuKOQ6Xqgt9hwAzZI2iiqHv9DFNrwmNd1HvZ27hhwZZH/qX2Dx00tkUi/H/
L79MEz02yG3lsYKntKOxST2SkqCFprbBujcAz876TUwyHoUivl67vJ8rxL11hjvIr+BthMDgzmk+
PxuC+OI4rOZNbVn4korgAc4QWesFyrSp8bwn3HafI+3P1Wjo7iHVBb9AnMAJOT4L73OWhSYM0F5n
Tm6f6prixnNzzIp1Z++CvvX3Zh9Ge4w6+yAp0tdKGt/KiImayMAmGthXsxAUd1bN8aVxS2ur8v55
qgzzHNSocrMwnD+kglXgEGiKYHd8tC2eYtSv6P+2TpBE3yy346QJFZKFFHwk2XXZGrG7e6vYQVcg
bL6E6Rw+5SEC87TfMxW1j0zOPoaWW7wi8/01zFpnq6grNNsUVtG4fkpYPIvSvM2dMZ8lXvpAZ84a
P6G8Cft7YDv1Uxykb46kkRcrpD8AFmR+gwH/tYDakUZvLfyEBRrjQpnK0g20gvIZh5vLvQixv/Dr
B6OpL5Md9mdQDWvpzWxGQaHWxKVnDCpSwoyJ2V6z8KqNKFLvMGflGf+KvXVmGKbdTA5hmBbQL4kn
XmtUQrjJKDXDfqifIgsIXf81kL3DKkIYQCvTDca/+ps1lO+++9qhZt0ZVf0VouG8KW2XLZV9bGyj
VWrW3SniCTyAHgVvG3zvSu+FSUO1RwKSIP8IBPnz9n3UDCAo8uAOCDuOPuF+9JMoD17mxfgvDLUy
gE+eBxcBV9rcudamiAJJ19Lrtw7e+l3SyngtHNTjTMOIpZ0nXII+YWV9MQC7ITKwa8cvjTvgLMgN
vE7Fl3S2+gt9SUCrYXUpMcF1+Iw30xg8pUa2wZVEH1YlDzLUWyTz4SGy+MaZjvM8xnwDU7TH/+hS
uNf1hXmhjw4lR/sfTmhvbAYdXQ9npawkRgcVO0cMGU+ZDcsCl0QR2jTCi+gu0w326zYZNlZmq52I
mge7FtY2pb7i42YfIjeYEIfVc0wv+Ag6jiNt1GyRB05XuC+LawXVnp1U/sFC2DhBaE+Kprv58JRx
9XH8wIF7GOfX2jzUS4Xf+/FdaDBqJK8+3ctmgasr5xyDdqVMifB4wypeMackYTJ23rrE+Aw5fp97
b+tL66R6QZuhVnT+hgHEBdObPArjU9R5KHdg222i1KqOE0yLEeozqh+eIV8Y4z5wppx9J5cs4wMA
jFY/EkZKF91ubxh6ywtvCEgcwNHQBJrCWFTRJ4c2O1avURqA1bfuQWYqxoDeqioYvoFikHI1TwX+
U865tVv/6rcGxD/yCPYJCNcgklgrmgFtCy4KGv4v/yWssWvy2VZd9aP/9wWw/lnVU0sIfP+//v13
f/pvRCQzhUneiU3kxX9OQt98z+Pkt0Cyv/+jvzLJvF+kZKC7JBsKufz+b39jobu/+KZN4gqoc0su
CSv/wUInPNiHhO8ErhmgOHYtSGZ/g5L5v9gk5wWBcIGr8z/+Syx0S/wUvQhiFvAaxDSTKADHDvyf
EuSSklkK7w9SOdKOQCEiSIMvI9vwvpvD+mrrFyw4Tx1BWKuZ5OxtmqDWDYcgWKd067ZSj89KI7du
ydrcASZegrkGNHwxW2sYlhhx0uR+Qja2YsrVvYxh+n2EVPViJu2zT/OkUlN036XONkdPsA6M4dFq
W31BuhaZoLkG/TC6IFjK3HVYdPJrnZeXpCj73Qz46ggFhbDZ6o6W4fQQI+Zb9d06xeZ5pwqwz2YD
Ldi3h21n2qyIBO4Onbto0eXGqEJM3z3yW7vzjqpzvs6D3d24H15IRZi/dug+Y+CwZvfGE95gyjDk
dubYlWwtUKsEyeubjrzNEHcflgA7ShLPQrHaAoCkCM/VGfjYzveHtyjtauxn8HUSkJ1bgQg/Zomw
2s8Se+YSv7ZxldyUXlPd+cVH6rrvQ23INWFn1eooSVTf0tYNEbBsxrrH8a9bTCkA0qpY7vJKv3vZ
s1LTUdcUQ9qNvljeGLMOkyUTVPQQvmIFJCTVgPFYtP6wZITG6HKZhnZRWtBuCFbMMQALjzboiLKA
hBHeJWHW7K3MYNLs03UxYnlmLrotCIVbqRaBrz0k8TmbXXfX+Xc6lv1ZFbiPYjZ/pw3ufNrqGLqC
4azH1AerjUGwiYZTbtn2KoWruTfFBI1IooTHe9nvQyj3K9/L3HVhZNklFXq4IEIlj9iY94MTgLar
NE7bXhAv4+ZiOyZ05HgTzTIXh9xfvAJyfMYEQ3caEQ4RQne0pr9HuRUwKBnF1YppqgbEXHrFnICT
nZmTtO5pqgHFDUXf73w3eUMu9oQA9iFAn/QWjFyNnFzampZ4g2SFK9KemO+VdFWx/PBkdWcwXeoA
CPlg47M7D7NZHlrlXFGKM9XrKdVahF4XqsxHKTlpQrJ66cc42DmRk+9rnJBXexj2UTna2OIm96xD
lR/DnJFZLXb9NGH3crGc//8lveyTfvqTZAs4jg4r4H++nj8lWZYUv13Q//pP/s9q7vu/MGYlHdxh
+bU99++rOT8R5rLG/23NhmX59yh4UwrXF8JnkOk7JlvA31Zz7xfhEQWPCcp2XLK5/pVgC2n/HHBl
CdvxvSVu3kb34fs/pTEpT2bgjazp4FQCFWKHzLsJ0ow6Jf3soKuupoSinbxaaijHuMASilcRmaur
FnIANB/7IMrk05h7fecY/mNsVe85Wevr0Ew/K0WyoxbjBqUBinKymMFbP0IN/0x648XRGC4yvPy0
VU0D63tV3JRd0QjVD7aSj83C8Rnt+myhLbDH+prb7TUSfrjOerCVhDzihzcnToxYAhifjfm6Zqa1
AZ3BBHOMb3WHjzsXHP9Chx6eGj00ibPL8aXT3UlPXrzRBe1SvGGo/TtaJmHBKUv5/qEvgai5cdSh
kx/cjceY4ORGBMLKBPHIQKLE8+i4Df51k3YEebe3kvyqVeLViKNk3G3tHOZCNWdyDVn2IwECQr5N
8Fn0JXIpWT6LgBN94U3tBYlsuOdQ8eHhcTMsuyKW1nOOkaisjWyc7AigodsWPe03TNx3DUjOgxwd
BD1/wb3b7xKVyiMz6XjlF+H31CW/YsB6sBmt7hNb7HJwFfdRydkkg31w7gxNYRta5cVL2QlZb39k
ZvmZ04lbCYKfb11M7w7e0HqMDQT1eEg2GSJW1hRxLgqmonWECwIc2hOjzVcM5SVgjrm8jxK2RrSn
7ZZ2bLSRtllh/2JqzE4AzG3Mh6cuKbCEpq21UrEYd1U3f0pZt4ce3wFhnHm+SegurOi0yf0ow/aA
F7u6jsIfjpGrnG+jXmAocWFvEwfPW4fLeg+UQe9inUEJIvtk13jFB34NuQuq2nkvR26kOGbGmqsJ
FENUoVzN6/KBD8QeVlXxHUJ1vqMZV8cG/kR3pxAoP+eFP+B1hbAUi+S5QKF9LiuRPzWomzdmFbnA
BFzjMVIpinWCvo8yY241RjHw9OEvLt1eQ1elnTB42ROD6X6v60i/OHFXgRvBBpYAuqZFp9vLjKRF
jRgoYfaEj4mJi8HGmYCjz0TAVgpxNiJM6iQjNbc4M0GrTlbzlErTQNBf8nYihgkZrh8mbYO7KGLS
N1zPsOY89dw6LQEcuXkeDUyHTQFtdLZ/4Pzpt67Tp3dqYlROkMySl1b7L33Z9zhnYSKlAa7iyZpc
ui2ZeamKpGGkIB8LV+E4oH1Ewgqk06Lh6a7Hft3qsFr3Dq3WaFY/MgZch8Ak+oIhByFdYUyhEPYe
Yz2YbB0xKpu+y55TzFVTGFRr7Y3z2a+M8KUxm/YtHcCU9sJERWtbek9cqHeU8POOSVgZx6jD8GAj
/ly7MRDmVcsQGq4D1vW+N8iYTsRwBvjQrT01ffUa+TUMIZzWeWvcuyhvt3HkcCIzwajUEzAn2jAr
0q7tjeeDpVIG69XkuS1Z1YoYhMHODl2AK6WPk3YlzWi6BDS3RYZnPkswcyCiielNW+F93Q31DnfA
U0ooymW2XX+/jN8hC5jx1hIKcnzue/e5CvBUlcD6eXKjE81VEx9D6j1VHuNvFiOC3xxb7wOmOpvS
YtI4lG22Y2B2M+wi2TR19AHXA3ZFzLBjliH+Bp/+/+hp5FkIKfep7BAp1Fl6HhEs46lN5Mr0UGo1
A/LogWu5yVERIBlEBAlwB3NUgL6Oxe9rWi8qag9OhY1AZAOvhwqbdIGVVQTyEV41/53pKQAWNK1p
GtAdNLsHzCPn1ku/oMr97mU6wHaFxynrjW4lvRF9v2Fsuhg1RCXVs0N20c2At3REnFnvp0ToP0kq
Iy3xJ2zyT7ta8NMRhbO520qhzUOLT2WtU+LR4lQx1HOqXyNrBDVZJfa+5l7bJhgEFw0JU6g2gaPg
f9NG0W/p6Mcb+C3ZCg+F3OdwXzZzZXyi0qCPPmcXln5rLzv3LpAsQJaJbtHHF7Gjm4HqOp3u6ywJ
jmLQR6efyh03HUcS0eJAKPFZyeg20q3aWejImfaEP8A+3I2F9VHYAN7GQnrrIKOWnuCcvY91TfAZ
poSZmdrOAn57VU37jXoXtKRv6IPMoMRUgb7L0DwjWvIXLq8pXyJPCRBAKt1Us/7UozC4jhoaXATk
WUwu8N+6vKqcR7cTct5VhpEt6Ur2Q5+pYiNT+CllJ8ljojMJdHQ4iQC3rVb9j5mOiR2UCs2Dys5R
WcMiSmbu0jl79Bn0v7qC9IsW2fWuiMW7ctG8EKNxc5SckDTpfKsKi9wP3cfvdiqjrzOCEbxmCc1l
hjf0Vs05v0UtWvVScK9lalLQacwIwhSUNFodDHwdydw7sMkDcWeHGC4G/ozlmZEofOrUAOEHRcSO
EKjtXOHN7CNN9k4SpoiDovSukV6PN07+ajoAD2yTWIzODYDR6+yLQcduRdQ8j4vQxYEph7lKl/5P
YHkeue6RQudDeEwUDP0uyoKDUXZQ8fJB7PysdtYBGLJbiY4LLHFiPYVeW12H0pNn7jlGtZAKQCMO
DO5GdUPwpw8jytAd46+vzAPkFgm+Pla5ULeJ06Vy7SdvDN+bwAN2A7oHVALitrGP3vsuYH3orWvI
yiJbBgQaqeese6QAJqPDjvT5VZUOWIkjglHQzvmAQzz5kgWGezBg89CuYkg+JDPYrnghnoJfHUzE
/Gk36otpdMgycXYyyGWSLESyYMFeKu2lG5kVF13D/dd4kdaa7WBc9gV7qN4CYZKfQvAUoSzyEfMG
m0cIjmKAsLDiJtua2Atk5nGZiRZgvMG2gzfSf8mWrcgLqdlSw68PnjlBClp2qwTEDX968AL1ao/u
0WFPYxFs0KKr55yO3W5023fCXezXkrWYLl93Fnjm13LoGAnnmAaM1iMgpTGzp37GppctGyq0a80X
iVLV4TODmgmb8ziSbtGkFTwon2QHwFmAFML4EiNJoYGOahRQX72xl718XHb1aNnfLaN4CjOnvENj
rbcY0cq9pYvL5LJDJbEcz9OpgWR6jDKmR6IsoicdYQCul4qiWGoLRnrzOaLc8Hysoumimx6WWmRo
o/5umBx7wzpMG8EFiQ6hndKF2iJYWUs5ky6FDRAnvY4zbAfFUvYUQea+d7m3xHoUH0sw3C5ayqRs
KZjapXRqyO5YV0s5FUVY8g185t8qT9covMbkWeQAiymGd6qqs4Nbl3BDRESGaIjFEmZhe7Ct8XNY
CjmjLy3+iuJOtk7/RPBGf4LIynZkkv05L+VgIAPAj5AzN9ZUlfCxadfYLeN74T/l2pTYtlOibQqc
vEuxKbJUbbAuYzNZStGWmtTvFJb9MFU0z8tPeiA/DANnPQ9gSWASRW26lLcGMkcWLoE8i7JOUQPP
LQePVLY3hcx3NSOxWWVL0ApnpdfYoHfsVsmvLjrdNEnJgif8bFjUrQ4rSI/QYMYITzH0UrUN5FUX
D4G1VOXGTH3OQ+eQyUbN7lK846//yNIJEw9mF8RH6bj+LzmC/zfql3pEQJKq+EfHawzeX5jX//Z8
/R//6q/9UvsXzq6MgE1sI5yV/37Cdv1fTBqptCg5LmO4kr/pl9q/eKZFrqTrLedrx+Xw/bcTtiDf
wZM+wQ+WRRigaf8rR+x/SI7kFXzWu4Ct0ULv+1MpQuoMNtRce9ueHh4d0Xma3kAHWtySDEt+8838
X6RVI0KE9OJZboAxhw/302t1wLfSMSoB6I9NxSBUE0gCNQBuTJ/le4QFav/HL7j0IX6XCbu8ost3
T6dCBETtLD///PIIwbIjBfx/BLDGfMQ+7tZDmkqRXYg8Xg9GXBBC6cmSQlB5b2kUAPCVqWMiIxmw
+JeTNPfYapOjNuwIlKqycKNG4mZkIz0zU2f19U/eKJfzH94oF9x2HG4FT3jEefz2jaaegXIdmypx
zEZwdS3h7n0X9QB8Q6+6AE4HtzuOSu8ZgHa/qnbWwcrgcj5Gw5C9lMB9ThExCj/++G1Zy8syE4uq
8vjtf/4bkwK+P4+sEI+2vuRO5FH47dvygkbUaUB66GDWyMDHPCP6zKriH+7IijRCSTlhWlNn1sPx
pehTyCss1YcYRvYbFOfibgI5YJr1UcTGQ2pG1SkMQjCfirwvdCNB9s2w2+korRSjY2VVX/E6wBqf
mvrxjz+J+Y9jAT6K7/HcWBIXKL///qP4yTwK7PUO3o08vrR6ScrSgXnKKSteCUT0HlyR09IZyqF9
NKpuBJiyMHryoiTBKG/YAcf4IthU+9rLaWYgCLKH6IuxsDLs1ITqnt5VKE2ThdQrSqkxBpiC3ryX
QG2dC6iB832JDH6OixcoKeYzw2paOcnBmDyGDF0wbmumr1TnWMktse7rsCH1E72T4frndk52gzo7
Acdb/y3rS6B1A+ZKLIxPQ+ueJ1WeQLmQZTft+ME+RJg0NBiUzGCbYO6aMnGz+/mJVIfei/OTqPEb
NeE5ZxCBDrS/Qyf33pmeZigJHDfAZTXClEtw8aymAnu/z0VbRXJ+rbAyx2glBIGanmd/LcL8Gxjw
jZrj57Tpzh2aFN8yYYUnu8nC5OnieKpFx0leyBeEMd9cDoOQk+DAUO5wbAgfkbUs4PcStbfnedth
8m1Kh1Fe5TAEPR70hAaSOcj6TF+LyJS04DmNpSXOpmullH5JjS6rjDQQ8j++c5bl/udnAAUbnUzP
5FDiuj+tIVQnXebQq9sS5ljcEa1Y7qp0JKzC8vdIH9rFkWI8BVUB9MNzOxx1Qwtk3m3y9qtuCvVC
/9v4FogxOwAiAShr1CjbnL4oNkYo63vQT91BqbF6J58hl7uoLqZvATrGJ6I8qzNabuPdlFl0EfPU
7ge7oMIzZxxCoPT8s58t3srBFX/2wPyTR591aNn+fKBzLAC/f15qXyABWx59ifHw6iCajtYpAbrH
mibxPVahJY+XSgSY2/xgJW0L6HnW+Fc9oz6Zs+2/5Kprfyzl2Nc/viL/ZFH3l5XJ4lq4HK6WLe03
i3oeIVjMndHZjr7lrGVb/YgZFjWCbA04qn+yMv+Tr8G30WEFQpAJxM71+xerYssdsc44W2LrvXf8
mR76PnTb/w8f6Tev8tPilPtp4nYUp1tiA5LvdFSrCxZQ+APSQQxo98DK/vgFzZ9bEHx/fkBVu9QQ
PkjXn75E7lB6KZSK29KR1plTWV6vHIrCUzvNziseQciJ4+jXJOEU4l0KUd7T/2s3f/w2/mFWS0qV
7dkBdZHDrNb+6dvlaNwS/AJtafRTGu2TwAvYe+vIDYr1HGAPlF7t3v74NU2qqt890I5PkBXZV0t+
liV8b/n5b+4fSzOHnfLU3eazw/ktHnAmNn0co1WsyKKQI1LZYejIMVDyARRyQl1gduEuGPyy/5PV
5efyy6Efbtts+fiIWK3kUhf85r3MAPYbQLceXb8827p9EaOtIYkvdRr/T17q58eGwsJd9nEWRPA9
jv/TFY/n0Mq9wQi2Hj1plGKpdyxMzbmgCwdSTszgT66taTPs+f037QqHNYRKj3XTcygvf//pRqt3
rMIcw22O/vi+iyAdkt87vhtJNZOPkoQRZ0GJsbMqoNJ57XCO+r4l0BevqoknZE81kW+FBYAiStrx
0GetuOviheSD8JTuM7vAJghMDxKoAHJa4APnAImhZjJyfKWM1t/irgBYgTh7i2fWBs0bTK8T7mfU
12ZmrnxfFtamAkMGuW+Mv/ENxbfebuvvzDTsj9Bu3F2TON97JaZPbBvjdrRCvCCzW+xrMibXbYX2
jXIg4q5pPYW+LHG2OncKSKrIwWb0jCdbxijbtUuQHpUO7yQlCSxRfvxcxAX4Epn516LwuiUSmbCS
mgCldT+nAfD1ButDqW1oLBkEpJeqi2m7ZSTsKpgBPZAhWh0pbP+xxdbt6h8emjgtxRaeY3OckPWI
QfoNK7ftvCYWuJLRnqaLcOJqxzFYXUOrMV+bNJUPKpmEs3ZDOXzaJCwfAxxC67gT1oUSYQBSE854
ZxaqdGISThXgyrylfpEc6IQ5973yi28lMdx3uuvgD9ciy27RHHaHOndIYFCddepy33wvmzp/K61O
O7uxt6fHJs/UvZHlQ7uC9EoKEdmbE+AMJV6wLyhkXNPwUlso4UvTK5+ZVVeHuoIJbNDbOcy6NcCG
tMmNWBPA9sISaCRQxEXIg28Q2YdtNmqxHZiAfjFCsz06iLauORoysgdyZ0WAlvwVlSkqu8nr3tMI
QTDa2OEDmGK5NaYsPKmUqI3KzKrPdqjUsxX04Q+3tZvX3MejiUJ8bVq98TagwrzO4GueIJGrj1Y2
/aeeBghGGB7A64HmxNdkRyRhGHhMYDl7BBXD7gojeFlhNHKqx6/xoR1SBBh1Fj5gMnd4aaec2CVD
wbAOS2tNa5sMOzxFmzZoXfTQnX8kJyNdOxKXhR3E+gMG1nyuUZ4jxGS2JMx43A0cMC5O5JfHvB1Z
bqDu7DNSp9dQ5+eUL24e14ZdhzvLiOInpQN/q7QitUf6/l3Y1bBuQ4yb+DSca4+CCLVajyWgcrJ9
Wcv5rq3s6NRVMVT00fGgrwVx9sp5uGSm6WCINRG3xsE4rgEBNDdyo5NtQM7V2v7LC1tF/VY1sbpv
bL9fT06JwcnuJoKncVb4hCK8xBFOcDeekvsE2fGDTaIYLbVOX6yof2/zdHqM8yQ+VpIU5BCA4DYs
82hX45Ajgktbn8SfDqvRb9JNn0CW0KLrgTwWqHhCvhmXsa5rn/p5jCMId46jIOOFYpeXNpIGUCm3
pV0Pbobgqow50MPkh0xY6HqT0sSKC48ua7xjSqNrF2eEfE8DRNvZBr/f0/LaNsJKDjAmA8aXWl0X
3T4J3IPs7nDA1D3w0rZ3nrGJdrwc9ouDnvLyFg1BvO8tsMnxKGdrPWTuiCimQOGuG8PYCjU435DT
8vzgZd7Z4Jsvdmha26q1v5AjLj5KqIh3mSHao7BM7yMOUHSaoZe8wrKKSLViiYMaParNYBmggR2z
3wXan/exW8dfApNg+TyHdRU2c3jSWS/2SSYQBsG/IsXaNPLzLBegdZuJa6cQQG1cY+qeGXaVa7ya
Oay0yt+DBZCPbpT557rNJ6J+iuiL0FVBJamzU1I7zbv2sB4FVm4+MuYYzkbmSJK4rHQPFz751a8c
ctIEBLCkrIunbgYtWuR2eANQUV0tLFlvZV9G707fqhsR3d0HPDJo/1JwcjOVVd3Ddx8vukhoJXo5
RzSTY1wb5vnVx6Tc+aZmoVfzRk3VNVGi3hdDk5zLnDqBY88YnpXpG/sgjpm35DXFIIwxcKj0gBvC
/7CRp9Fofzq5NC6Z3WJHDzKmIeaE/5vEa2M7DsJ69mJEZXGJ09rQPqhbvBb7ohAAuhXd/5OHzzHk
TC9zfZzSgtPbHGXlB7Z/ODsin79xsVCDAwbuMf5Ju76mEdbh0hdvZelb+PYz9WbUBp5TYgmuWkae
s5V5Wz65tDO2zRBn71mReD+UVHA1raI/TlGNnGJkJAcYDQCXn6Xipcqm4db3HdY5y0fmabptDdFI
05f0OtXe0P+Fr17rmY+tVPPFrGrvZIRleCXkpvvWOcmCXGji+Hks5+jeQN/xXWoRfPpJXJ4sbcRb
EN0t3ADf2LRuCQgnwk1167Jx/sC3OH2ROiwffFEaI/hbY7xqFPbwyKDH5Y2jtpqrdckRVQNwkUZ9
jmJf7W18RT9KOgDHJPC7g21McCo8ho+Mn8uINM68ZYw1+O8cVsJrWED+WNEeRjHAhgGMwABz4HTW
iHXSi/ZTIxEwlIxi+Mw1XfmUmIOPVCblq/J1F22mqmpavG9MHrZ92DpPI6PGc0auwY3eLXLgYiy2
IMlbtYpDw/kgiRgKTm9W76D8stNIuukz6Gh1T/M32DtF75Gw6xe8aDCncss60FAeEQ1wp8nkZbKX
6PTECczaAR/MT72KmFpiRMCnUqj0GHn9sHMZQyYrwfxnkbKNDDIsThWXzM9R+Dljww7WhSe7HHMo
PcwWHrXOik+7aKt9aQzxj94thlePVHWHya2B7DaHAMG0PYvHQxWE8kdbOf+buzNZjhtbr/WrVHhs
VGxsdHsPfCNu9pnskj3FCYKUSPR9j6f3B52yLekcH9mDO7lDVZWKmQSw8Tdrfcsq9gkCjUsvlbxr
lYPjry7D+6iLJ3hAUX1KEVZbAFyX/U9od4hnbKWwCaYZ8w81yO7Mz8pRvg1jcjcS61fAoBF4TcUw
fCTV3LzZwgKSjBNxB5zIOyAwzLGbkhJOSyxH4N95cbCbgYtEZnS9TaNpeDLLQG6tkmuY18rwULH5
yR2KRRCLArorRle+R4tULUt7wmjLKq53bjEP30aBAGvV+W70aZLcAWW8k68zYnnA4Xr09NrJuoWO
5OX6LpAhgJq5l+c6c0iEcOsJS6Vt2fNRRwTIxFrwQozsAkgBQhCWZ6OHRduMMvslN636KW09cWEV
Tr88xGn0YCa5/BxDj9Ansr4rSF0UszO/1V2FVPE8sxLZU2oY2FO6ujg6SxTQ5DjA/oXhdg9YQ9rP
AhsMgKqWr0+BdxdnSr1NNmZagrHDe1sSujQEov7A46w2OOC9c9Uk2SftlbyGYCM5PAWZ7mYafO1G
w3jNgiK879iHObw1TXmaq6Fcl7GhH725bR9KoxYWJ/uIMcg3bLjrSXkI+wG3nIAQtcHnZu8QOHAi
DH2yGaYc6UkeJngN1XyZtlFwTcZmteRKGtD54Es8hxQxV+HgNV/K1BTPNkEAX4MOG+bW68diQ5aY
ShfUubFV9pQfqz62m5XowugGqGP/lNgMS0Zjyk7N1Iiz6mR4nkRd3Zozr4vGnVRAtHmvL5hiis8S
EhTL2TjHHcDtdRsaHnxdpFcTCMUaYgXW/joHpTmy+UyhMOFlrGJbmFtLdF68KqpZ6A0lXPzYmVhw
ZorcYz6RfLjysowK1oQ+esMV18+DVFxDsUQ9qmSS8YWahbwasJlxprCY4ZmwQnU1uMn8KsIgy04D
GFyAtWzqh50T2dlDIVr0OxksrecRAxw0qzErFndR9TXN4M0gMM5zsVcV/e7GNx2KOWWViQ8b12Lw
CGqRqKLKCgWhDRMuL6Bx1JhS+dUdEwG2n1jWSH4pUKhN9XzSU0T+yuybHhvwKamHTYJp3rgRDoPo
i6EE4XnJ30ueIiOqJjhFRatARLKJXBs+wroN44GAh7oy8bcMFfy5eab6YpkeDlvDK81tqFkxbgq/
8JIzEwUEesCTXDYPqI4r1+sffb+BdKPj6SEVY3suUywAoHlcYC7eguFoB4bztF/BqnDz8bJGKHTX
c6Ww1uXlBPKI5OaVYLt4mSGJfSZ+ovkMteNiTO6IvQh707kKaVbx1ZhBd1mzXybhHXZmDjE3I0h0
CYq7rggVoSwURXHqnV5c1t6SgMzrVFAb+gXcpcgOb3ptVV+UaCjnvaFS73FcJ9lKckA9F65coNBh
ro4t+Kl7ZFDjktiKmWWcoXVxRunHptJcTAwHj0HHHcf0KiJhIyruxzYGNxJak/NmxNJEY1NsraHB
JgPAF8Znr3fCLL541UzQvd2O4Of7FtOy1uGNpXv9MXZjuyNfxzh1qg3OiZMQ51sGqVOuZD2mhymH
uzLhgt/W4Kyxm3GhLlF9F49e4faHNvatxwIlOTUw77bPPLXfvMFsTrFdOe+u9Mpto8hqGYaiPaBN
TA5TBDVKJEywePMIQohJvI3uMnj0rOkDy2xYpc59BrtwnjfY9aIr8mGTr4jvhjeRmMUBc3oPsqsd
V9WEgh4/bnCSqJy2msnsLoVuttZlzKdCWnWpdKmJ2nWND5BREPhdaY5AQVmPe9ghMRGTl8Sm1hdf
27QsTlMDM9hziuydATsIMmA46An8qDDeycXkpLfZZeg7MUQ9+G9+xVieWSdxBjjCQb2habercUZZ
QeayCv3sWSH1Wid46Ze0B/5FIXO6KrfN71RnIixAHdXDtCwCNsY5YpGVZbTNxPu8xxzcFcGnZ5Oc
JTszPYvKs14UxdipqSN/Bbaaxyg14i10yxs7KL712jl0rq3gpSXN0RoKm5xEkAlr0XjVKcg03RLO
amLFS4oJ3ElB0JLluYR5sJnmP8vV9GopIDV0kfW2qacnZqpIN6MpXhsjhCrQwQajPt7h3PNdYl3n
ZZx9oqufeR2G7ScIZ2c1dAFRVm1Tb0AxACQXXXnZj21wiyIhLne2jdcOkFVyreWsHkOsV/DQipjx
QxhM6ddiVA6QeZypRFA4ubrvXS88Shv8RgnjXkAj8ur9YCZcGeb9yDRHBiCesdT/WfPI5sGlC4yq
lx6C7UUzCu8C1R+bGD2xk+hUD5RHW7iPkYYYYHh6JchK9axR72mDiXCGOL0WgHmukW3Kz7oV2OOC
br4zjMB7YuVZkN/tz5ARC3AgR4W6dQ0NX8+HAQdyemH3qfgGwrRv93UTFs66dBasS5jmzcawDKYN
xpxgfoDYArw9O8G1ImqpraNtNSC6JkfesM8JK+ILmc1gRboEP/HUVJCd6giJDdIbiYxycL71YUva
AwpebmztDMZtlE7xdVUU/imNkvleJGVwNr3KO5n1DKwmsqVfsR8C/rVsR1ZllBU7aJikFARtbJ9t
CmzWO8kkLgPkn3clRdy6yi11KiZWWuSxQRYvHaO6CWV59mrbfsiMFt0hqRzYF5gGyfd8cOWHb8zB
vTtn2b5pQcKw03hXAcD8Ibe7fc/e5VJMOrrzHW88ly0GVp3hTI25gQyiTODkN/Z0McdFvZahHdGO
ku1NgHd4brIC+WNqxf1dnk32x+TIeRtEDpTkUvOeUV1bcwO66Atn37IPBlkEV900tU8upLPbdCjK
51pO9D2DlSwrgEIRkdMxSz7xq/T3FkC6I2hnaFJBk1zxeYnfhOB5GxsAxOzSMm9agKj73mNdRVPp
1qsw1iT5to77MJpmsmkFFPopkBHqN9/+5L5QtN4x3GS6bpc0jQkEDFwVvRKkfZq7QeUAi+k74flC
ayiPfqWa3QAAcRVVAAsCegRIL1N1HbEyeXVMw7qMipApHl5kUv4i573glXGfMQ1+J+2bonXdGpFZ
oEdzi957TCctr9TMFqRYz3OMvtbPI+qDKkmVhHCRDU+0YXrdxOHcfnRelZYGFmZKi/cZvVHz6kkG
oAxhVC53hcNUFoNu8pzWWGa3hFd6+W6s7PpbxIFCzHpqXZX+OOEFZx9Y27pD965pbSx82Ho7+HYc
bJrGAsPex671Jc41uaZ+X3dnwOPZhnzB5jYzMBgnSLIiCCUStw0U/hgjEwKX1Yzx+UEblkfSZZO/
OMEQvJeWNo9MImZzVRElCI/fsICcZNA5GHGH3FjwiE1+GRNux4CO2+4bsVVV4Ba3LXoKRr79PB+V
3Ys1g3GGFC7oMHXBdpocO9rZhAo+I9aHf16V93i/jZM55tWV5UptrkA+q3PfWO2LHUr7oPMs3PVN
SSpx30BWF/i+Z9H6t4oSYjuNdXhogmU1XjCh7FyrvpJKECw+DtUWrr27yVz7gAceZFbZrbsGlH44
CtLRCwfz/DzDohlig31P2Oac6DAd6/sqzrCwL7v6lck8Ybc8kC66YCs5sSK1LnwwaeVVENMBIKXm
qMyawL+xprD5GpnZcEEn6V9HpJkhMEVORQwUBuL51jDGwlmNI7B4nPPelBzdbjDuJnacLIB63vOk
R5rtifib7JWEg/kpRvRI7TgS8FkMWYZ1yzc2Ioyik+/ymnTFGNxgoSNvzR0A5jE0IQTIaYsx2jix
rL7FATfyJssMtIt5qxLYBAMkdTujXq0m3oRUBd6lR//7KEe3YcVJC63XXjQHwOx4H+xcj/iC9SzN
+ERvYjzRfsUfbgowCTW1IvJDarhxQPADg8lb0uT3IInGR8zf8yVNbvTmJKz7V/Gg7JcwN8HkToq7
dAX91L8pEqTpo8pGiBCpha2pD++qvPQdxKIo2TqJ/IPNNJktwg7mj0Bhs2srox1WGU5gSViITHuY
yTgPum7Kr+jQYVJPVtkfhNvTKDme9cQbfNJwUy3nsg27+DFAe3+UEFjqrUsi5BZKUXCNEGzceIwC
H/luyW1jZvVl62dYFE2mwTdeNsYXtsx5JPRADN+aaUiMSC4Gd1dZBBBYEK7qACJCZY7+HZCN4kjQ
FvsDhwT3m75Gfr5hIBuIVdGX8tJQZIKuhqJSb6nQRAd1wk7f7JH92KGoGPRtWhiO05WemdjvS0rQ
bu+HomJOHJBEBiGwOVvfq8ohU+HRJPP10atEM7HmZ4iG4Ded4LZrzzub46wv89700eQF2ccwtcVd
IT3jDmJybaynQOSvsQ6d6yxx3Ps5nqYXRCbpi92j47R9WW/E7BonCgTvws1B8lBfF+SWDH24n9w4
voMGVD8Dgqx3tsoqJkM4O/GoGBk8qs6818GsNiWpTlvI39M9/jaHhjAliHju53VraTwAykvhH4/D
CnUnBaTfpsOpTczgIrBx32uDJDqbRJs1u5n00EV2fwH4uG1WuuYJM6LG2Bq57q+F4dtX/cCsgA4T
mj+8gJLXbF+cdZa+l8loohqev9UsrByoOrK+CW2DIOmx6ha1RzB7u6n2AvDH4fTsznb9JZ8N89PE
lPeWN9nYwu9vhwXD1OYvTW8MO2ppKurIVTmDltLol9cEo62RuRqSrhXHr/k1dMIF/JBaFqjDBN0+
En5uT8a4eAsA2CZIxJ77Wpt76TXAynP/S1ocsB4gfh1qHO3hxDVIAuZUGIbkleiy4i6wocBj9MAc
A1FAnOakRRHCmHhg+NJ3Z4pz+yuir3RvLvh4NlpGuchybclotRFAYsLsnOXBsBdVVb73vd8Qqo3w
pc56goEyUYLGmRdqi0h38Cbp1ca+4mXYETB4ahjSXSSua5xJncZzOQZzA4WzL5+KqEALYmNAXyel
mDZoPsmOADJxiz9CXtjaHEHyBc2uEU13dAFwvbcafilJgstwBiYdgZBiyC3WMzF81KiZyLVrpz1D
YOJn2bEey16EN3ntpfvKi5kMp/BT4dA76s2YwD43Zmd/GYlcuBWM5jZ2Ded95UQLSTiJ7M/KIojW
0zr6KNG8E2FeTYSNcG7u7Uqn+8l0vaWVsA+NGuOdbbbysocB/eBkAZQ/ANKUZ0VcksnVGrewlZpn
J5/ZuyTEvKU2aZP/CsFS0cHnPoxBHb1qK5fXVH1iZ3g4ytrRdV+/L9UX33vwUZz/pglrfna+//LH
//NQMJPI/r/xyrumraQtkGL89+bKx7ZF/ZmEb/m3HxWg5n/93b9cluafqLkxUpoo94Rju/gYh4+m
RWPn/ckLgH+MptNEj/ufHkvL/JP5Ots1nEOSK74oT/5DAar+RLmgXLoiS+DT4W99vzK/Xqn/+vMf
eQf0MspbZI/omH5Z0yMk1WgvLAQY6Gpw7v+8poe0wPB4isJDQbJMllTs1Bud3kAQLNAbzqyIgBau
Gyiql9hEqiu6k/ZjhgB96/rZ8g6xXehNHjM+MkPyEQfKgltbiyLGAN3idfdxPz6CEON2NLvk1LWe
Y6wCdLRf3WiyDlCWMZtRC0I6IfHHHBTvMKeHxlPHAtjIiI48SvMeLCJ59mnhAjmK1RcjJ0aS7Ian
SbhnhsEE3TRVQW+mOaXmubnGIT7cTSO4T79Kyoe58OlCVaEGpk3kzbDQzNeeVhFZmn60Dh1BWZ4m
ya6x0eGxDIKDb6H9X4suuFcTeC22w5z1PVnYwgNIX1f3LIeexlgREudatJlZtg7nyqhWk6nsW/Z1
nw4DeD4Ya/ZD4qXJaUbbv0v6MHR3NOQYVQXb328Qimj4EJsSIjjBAg23vWEWz7PMUrkpI5aLHE5u
f+l73nREN+A+YG4yyBeT7i17soSxZYJfexQ3iHnDC/SX6VvJGnmLcmnXCwZ1Mcoi4hVzZ1WONhx3
jSjWUqUDOyQeLsuakUJatYAi6+EICORLFrMcb03+iQG461h0UJAECcsbFvMfDcE9m1La90OSnowQ
xHhRXxVD9J7QB2+8kXaqIllwlSM42dd9HB+MAbk5a3JuljK6stvOOHSYYLmYvofEiC2IMc9PDDxx
wAzpPnKT1ziNgDoWULhbkn93DMbR1te2F67JU84uGnCh1OQg7xviB8Vgo5WF10ljFQQ722o9/E7i
ax8kYhWM4Llq3SbrZAl7HAgHptLW6jEgFWLXkgdJA7/kA5KjQt5NjfE3H5jYODIkf7g3l/oQfotH
buW6gRQEMmi8mok2WDW9Q9RmnLlnFjkmblQz2VaZNvYz45xDQcQIuBbQLuYsPSiSQbdHFVA95BZQ
Bwcr5m07kRCDC440u4YMgqh2k31AUAvJM0Z5HqbyVYyq3WEr6e6YsOkL1vX9F02EBzvjrj+mg2An
KWaYYSqhvrEsP76Mp8S5cByscgVgGuY2pvmaFehIg3HyjxOZRfAPTA1mwekuPMNy7+rJpzJwfO92
wmUBai4gSlySeFuFHXHaEPu26Ca8G7C6yRrHkXuPW0XucSxF696agg1gWOOuVC5oMFAx2xp7665z
Nex32lPcrRnZzrG6tyK4wDOmQbKZ6I5xEEFSmFhCs1vLV05L7mtp4D9l+jrQhTXhvIehBqWhVPaj
1fpilVeGd6ByJhfAH9SScDyfmixwn2tqUdj8RnxUbXZp9v3CGE0wPI8QPh/tILHObp4Vp8wB+DuC
ed2qBodX4ozpPvMzi3KoXJuJ89g7rrjiuE5vU1KN19Pov4U1Y/AS6u1EHpKV+U+lTUyFV6TeMRnM
eJ3jl7zBD8VE1YwY+ngJqbAG8eNhPFg7NisOiUgeQ1CSc7pyyamx3C+NM2AvVFMzM7XKuY9JX3hH
5pq8SXjdCz4CpHlNWEou6wKvoyUJaQ9VACuJAjDAtuOjhWF0NmBz5vzeG6o1b9gNQRGbs/rMUJVo
pJl9CdRsRh1CVweTlE7tDRydVgTILc7XFXLSo11kN+TykIHIIiJaucxRDq0BmSmYM+wlInyqKosn
FuzirmC7vOoG5a7ZqLT0saA8khmtBlsHsUm1DzgZknv9MJe2jWRhnG+VObXXOLihoY9yP7NPJ5nw
2omycbkNSK9QxtOkOZrqEKJcragl/awtnwVBzAcXqNu+sUiUBsj1GVgxSU8eLTX5V3hMyelbwQa8
m1OD+T8Tz8UjGRYP9AfdQxenpPTiy9/bpLJCS2zachXiCGQKHNSUejnMI+RVJtaz3C1v7CF70Im/
YDGafOI8yYvsthJOi1gapReQMfcYVoxbInZeK5qY+x9qh79qqB/fxI634Ax+1Nv/+ib+BXdAIVvW
DiOIfRA7WbpHqTfMrBOH6uhS0r00ky9v2xmeadI1GgjMVLbx1s1BRGrWEyfdgFNsHOxsQvbRQUbE
OIQIkY/V7GQvcOIH0mQxOsURjccqJr4D+uKM956JqTMfWaMpoE9eJO7GNEiuM0LDL5l7g3DPO36o
7RoERRcWs+U4paE2uzneQOek+u7qxrhxSnQgou2iywD995atV7TR7Wze2y37kAZ7wAXtAkIurOd3
YWzpb5ycmJ6cahI708z8HWh59x7EfXSTlG61pwryNhk1AWEG7TCfUB2M2yhN0TCaOSMNiCPWus1z
l61PBesTQCphzKugnxJqf23ZAKR4lKYiq9DYKLt8J1gium+jzljpniNd175FQBewIEYSsDBb03kJ
4yAiCA4kCzxW1zbPjhEqhY6k9L5GRs86GhaOT45pijuxTsDHGFWbH8tG9yFr0a6+J1JN9LyNZPHG
dHi6mgjqetXx6JCApcozixGr21boQTdJRSJoHcMoJN9AXKmoyj8l0rVdWWTjzsn9KVjn7Gg3OM6N
+6CPxMkdkvmWQQLSDNmOE6nvLirdeMh1eYlKG91qoSv94VIAkUeLHs0ibcgvD1PmVd8QsyMnwUBc
PmNaL6bt0rN4q24qUqQxfjq+hSXQnjQ29Ws7te0p9jMsruT09s/xOEbbMJ7sbQOB5oSXXeKBq3H7
r6c6h2aZEwdi+z3TDzYtSLGqaLofo2A8ZkNjnufSqZN18f0sy5ZjLeN7rq3lqIuXQ6+IQve9Xw7C
hvOAMAMnsG5qBpuvxfczMw8x8K7NIIuaay0SaOU+s6AanrahvpiYjj+bgKFwaLjjQfZts2drrwA7
Ybg5966bPQ0iQ5RpsrcGBP/93YH2zz0jLVz0dVbituskktG1JPOEH0861bZf3mCd1xqgOKbIukA/
5xNzlgvoScvrsJgnE+C/00aPZTohDMmwkbLPVxp6b7K8hRf59YuYCqq2xjSOEKPcC0rD8WBWJXan
WVTRuR8c85QQ1HAZMQteU56hYSDkCU+hMzWozPJ0OjP8GTZcMfeSZL6eHBvs+4ldchZHvpE+Gk4O
6T7vTOQH4HZRS071gJxxJGYk8vuWBIHaJkyzLpmZVYXY2B7MYS9iroAYI0uuoy4Jz3LK9e2iMWgp
k2sGkQxvsJVDUnaQgOz8NFI7bNmc355RnY0iqm8GdF3PFl7lZx045jfDnfoHzMDyNohJXzCTqfyU
5dTz9SWyckT947ryBNJQgxgeWlLr0yJIsV4tfBeenim7r2EoIztMQP7xumWGCyzo0EmlLgQxmcQl
BM26NauAwBbmBg9Yv91tTo/cMkOR0V3UBIQsy5nljdKtQmtLGnpRJQU9RZc6p8QjR89LfesmN2of
eUI7Qgmp+oNpCA3POQPe6TbddQ8n6R1jTk8DLrNX2UX6dXaY1yBlj/HOGtEm6m36enLbMF7LJAy/
YPFEqZYy+76wO7sgnZfUlT4O/AN65fKmHZABSUEljZoPzFSN8B1lb0vvUyQHv2kVAb2zFpd+xY4M
91C9KBbMh5ZOHuDEkLAxhrakN+7Ee3nFDDH9JqY5IPos6S7qmKmNS3zal4i8kU0tsIxBpGR1CIJ1
C3kdC4Mer6E7pwgXI2Jqp2TC6pukW2pmuc7AMoMaZEqdIXziRJlQ+UoOMTRgwrHSU8wraNW58UPp
zT4+aVGYu7IhipmVTjfumoFIr2wAjr6eiUTZ1UmRb00C2Y99V3jVugJ9SwJY4kdP5OKSGaIGuH9m
MyPrSyP5bEWAADLEXsFqLjsmGQSmnPllle9lZ/Hr6Y3noUnSh7EbqAoKQp1jyhCA/ILQ+pKYLBH2
9UoOHV1PUyj2h+l8OcuS7CPfJwpJSiqHmT16ptj3O0Qj7fE8Ikp0Te8ClyUyBtMh+zg0xY2Y0Xpl
IRqfVW3E401g5EUFjbqwnJUTCnujMovYiCAqX8c+aR5MWdR4hXVFwCXocpwrWPE9Mb4w+u4PSqKR
a2U5v4k07Rj+Zj7QldRHDZyrCgEp1aeSU7u1myq8NoFiYwKo5m3flRP8tgq+g5WLyyaKspehR+Le
h0Ep1sLo+3I3AG87EHqOln2CakZ+qCZr4EIOs8x3GTGS95GwYoLkMpp2MXjmt6CoCEQjZtxN9wKR
UrnrMRmS1hAYHHSD3fqPDhE+6/AoGpPBqe0MY3ldz7m6Ye+T3iJEjD4yvDITLIJmXNcKYAkPRfUQ
qG4Ry5EQ2TO+uHcw0O1GJ3hNJ28krgSFCzpZD7mXH0Y7K6YnqrVd7+TQd3vPDOxT5w3lXa6ySxWw
wSktFhV1c3Ro9Q7DCH0ujwaaAxsR+FvQyWyTd9rqGLHb0ZkEhPnYzR0Bt14UUQBJsacWHV+9JszW
3PnuyoS/tA4UXAQmowioBrpISVpOZWhrBKfQEzSTdeN1y0tiz7LDuG+TrEVfYbprBu/uVTrm0bfW
CBJuPR8DZhHorcJKeCeiIXkICZwkCbExyR2IggsvBM/QsDPejWy/2EtUSD089ghouRvSk/zBQRPg
OxvpcsCsvDwnkjdyCvMNtJq7dfpeMy6EVhKw2CY5DMRtAVbwmj+hpQuIM+lIXd/O88x4ZAhBT7CT
GR3qZ7PdogPFCSejRertE52I5CnBR5iaKN4jkZ68aTBOZCf2W7MeiYSHyHbvtzpkYS2dy5hQn5Mz
QQXHlWo+tTVLqFI23KVd0z/yoxqCBtyZGpIZe/RCBgC4Ulbldxhc2g2b3+EaqhMPuzfbTxj4LbQe
DkxsqdqjS32/yZEabe0lnIRdlTp4ftttu6DMP1WOFcJtnPQxjhtvRx8KoqJ07R3zhPIUlJQsXuyL
o43ciQosoXCijnwfGvWhO2hAEQT1i0a0t45odj4DLxhY8FUzC7s8UMevhl9syqodmPyD7VPUZNuh
js2TAzRwPcmsuPJaMNuFJfPTovs+lU7YIhXOM4bPdjRsu6Zo127HFV2FTeemq4xFAa05y2IeVGvj
MbeKV/9Phqv/La70J3opU9u/prqbt/btpz9svwPnbruPerr7aLr0b6RTpojLf/k//Zd/fPxPsHWe
Nk0WtT/0R8vP+OvvXr9lH//2L/83//YGav8PZqt/XEdfi/e3+o9jk/LH5sdZ63/+n/42adXWn9rB
7O2i4mLSKTSGvr9NWrX8k+ErRiTsfLiRvB/opKb15+JP0pTztu0hhWcM+9es1f3Tc2zmtcozHUnz
4Jr/m1mr/MWEBU0Piz2fDNCpFg6ly8+j1qapENxFY71XqfEE2OpAn/eel4rJjefRWCJ3XVURpQ/g
uffSXeReN5T6bDgBXvpPtKsPSdZpnr5koUZ2xI5T2PTO7Uz1sm7tBOgz/Cc1SexO4YXTkNH0w0X4
B02qKX/uUZevwExaIJvz+I05+pevYPW+w8wp4Ctk/sgKSx+9NnxPXOc2CCvEUyHe3tCI3imiNkRn
9mZcrRJkgr/7HFzIH3vlvz4HcnP6H8vTCwXxR+scL7xS8Uap93Un76ESH6x57NelSaovQ6AiXmJh
S8KkNE0u8H/inNCyVqreEOZz1lXzGwvnL06+7x/HVRZUBocRP8P5nz8OiTiyJku34uMEsMJN76Fj
oUlD9xt6lP5lRvDXDwL7KWx2RNL65Xu7eKqAaBbV3o6Sd7P6UjkZERQEtsLEco+afZOWzlH2i9IG
WI7KNF8dbQ75RdG3MlOnqaJvIyI67K2zmbgHNJNpIxvuO+c2zKlc6slxV87LHO+adr52iYDB0vKi
VElrgUsxQ7q/tfW0i7T7yosemRAsnRXwqJU9wiXiJTVso/izL6LmaCqwXMCnrIQAxZq3BbFsBil5
k3HdsKRaIbl+mVoPQprAO1zZtxZyvrUq2Kzl0Xs7tBtSEqLtQIYfmILHMI7vyadaJE2xw4xt3tVl
/7LcbqHPV+jb9pZoeJ0ZD6Ju1EZqi6Sj6Fb5BAr6gq4kN9TKpu+gGeAySczdm8y+bBCL9k65ngeb
/0nGLdQk6jJWRKeUspj2yj44C1gdsPxng6sj8SZK8fIlnYMHdBv8L43k0pjda1JFPjXvGkIBoKlH
77959n4xVHLtOQYwhwHmtIVt/+rh9OZcpOh/y31V6z041qbkvGCYHnFj80ue+ZZR4V77UvJ7hoG7
CgkiQX9YrUPPf/jnH+b7WuiHYRUfxmYWBT4El/j3E/XnOz6jO2TooeI9Y1GinDq6c8kTaHniSVps
69VgHCpdX1nDRESN1ZBPUVpEMAnGTQEorJZSfwsTy1jHTnPRxRRJwzzJjd2mx97hQoSNAaw62DVM
BsqgfHB4w67YpSVMlYZ9kI7vRTVMe8vlGuYkyYxKv2LYThgwOXI7286Reh2PhACiBO7sNxfD+vsH
EaaLYkHEAw9FRfzyxItO2z2UTlJEcImt8ri+dbAQrrLUe7DczloFYYIKoNd3fjawHJ8cMAbV1qud
feWmhJI78SFArOnE95mHvB00OlogrmI5qqNXJUeMIklw6lKNvitzj99P+s4mcZsk7YYHzkFtDh5f
P0zJnZLZ+6DUQ6e8I3jWa8/2HhIW/abr/+b8MX9xji+X3YUK4OLnldqx9XKP/mBZxneCn6znaw9G
zdIbIflKYbTaII/ayZqasHZLXkU+/rSQ54wcZfmbj/D3Jz+fYFmnChdZnbNsRn/8BBT+/tDRiex9
NFkYCkEpa7yim39+fy9bz19ub5fDBp+84Etypv/8U/K0pGqsUr4n4/aNJYub6alPV1By9iQwD3sM
or+5o+TfP95UGjwfkLVR4XI2/fwj2XghNHKxVPqNxXksieoqLPECuHcVlLxUYm6vfGO5yPjxSMIl
v3NlcimdVO8h0zAGkPuoiz6B1MGe9dN9AoxxGcYzsyL6I3oHwK1/9xr+ZXm83A5KU1UxCUWTR1nz
82dmgY2mUSbdng9nr0ZK9TypjK0sSdmThnHB/NleJUZcrx0yVQiEyz/zqt3/82tl/oNnEVaTBlUB
qUOa9i+fIpWW2UWJ7nBDEADe1MAhw6k7+0gdTuybtoOYzI019/cpWIQzTyuHPQcRYU1N/zR28lOU
LlGcRfZU9SMh4dWEwMQV97/5mI4l/8FdBe9AMrnmUyr5ywctshqDVtyn+0Kmn1WV4sURbC+R9nHp
GbEnaG8JY/laB/3eRZ0Pv5xbQQxY4HN90EiFNh5Ocbq44J1VGAwDf68bXmp54D/gIPtEm30d4Wcd
42KRTkJBZy3C8YtCxnhz8i7coOXU6ySx96FBFHPWOsbWku3LZNa7InTydR34itcjJ6dK7wsTjfj3
97aVqwcDf+cOzMB113Sf8zA/OOxtVjTlcBOq6HYar2p294FHnBQ+x3A5ANFovScke65SXQHRtbNt
Et+I9LVIfDaJoB0dc6RKm+oXEhqhTlZ3BVr0xVm80DnnfCWdB0NFn1CnueO5u7+XPVNIapVRvmBS
37hENK6m2WAINy+DetO6BV1nbP1In9G177LM2bT/ztl5LLeNbWv4iVAFbOQpwShRgRJlUZqgRFtE
zhlPf77NnrTlLqvunZw61bYlENxhrfWn8inI6Q/zDi0EJBvAnSjbqjODPdH8GFuKGAEjFdpXfMZM
/WwiiLd6jjbNpQRABZGY0TlTw3lR4EDA4qi1J6B/H84dJ/+Tj0sSAX/ED6luvg1rlVgW/nFa/vOd
BEOzugoYi+hCpMh9IyAHFA1SAedGQ02NfaTLKSrPcx+hA1GSxb4v0/P1CYw5g3bBl1m/M0CMFnqx
NCChg/+6R1nxXS8dpU32uLkcwtL5aJ2YfO6i9FwE7YoGIfCOSuak5QRL5oRBetqTZfrDPb6FOzIN
b17LkXdtKDUcuYKoVyNstgkev4smLF8ri4GLZsswmZpJnk0bEtjv3VOORGpRCztZpuD+poojcD7k
mMVUxEQZeemZW80yaz4UyxeWR73LSjnP8SGYZsGRWd1yMNVDHTl38JkAUuz0HDf+keLrLL9hO40v
k6HvrJKME3dTyUdMM15nxpvCJeKpFsmnHzIFRiq6GvR0j6HyzoiJKQLoIeCK8V4fUeIZnHvV1C2L
YVeI5heqko2rUeS2vrvOfG0rVxFK24vh167n9HyfVfKqJzJeRve9QNcHrzMoqaAxLFjHJG2Jei1X
A3QaIOuK8WcYKMu5UXBHCC+JzafEhhu3ngihH4iDU/7AXaTwIrkbInSFi16oZFOW/mYQzk11H/jl
qyJHLKGh9x4iYgIgrJq4JTIuZ5KG7HpL07Xx7fzckex0/UaHrPiECdt0JSGe7kOhjc7SHfkZKVRl
EFFzy+SPbkh1dvKQyRpYLqHtogii3s+SS4qkcTOimVvi+z0uGngPVpGe4NyuUeXAau2ZJ+a6/yBU
+35q5zez0p8ZukPEiXXYNwbGFwrm3zgjmEmCckRGNTkiPuNdzuef0Gm1EK0TeXrAnLkgKD3W9riZ
CWxbTHZwyUbzcP2+WzTWsGhskkcx3rSBi9UEojR9b4o0FVOD9Uhkjzf6waUA35SGaM5CHnRTyY8N
SQAKSWIdSnT3sseZszPhxDHTvA8fdAViLqrqziX11HT5z1Y8ux6GDge1NU+NSNdzHJ7tvD3FwCVL
pMZHq8VXMocSF5oRbhj2cRLOcfT1QwPus2Rc/5oDTEEnYFmP8aUsfs0qaij6tHtNHlGzgcAnYOHJ
CdX1TJkGNt5E9+X5BYsIMuTzHPxy4BwAYHLM2Jwd/yzJKT0zob3HRWyN7cxZaznTyp5Cim+slqWh
T1wynqpLs3a2ppr1Cy2zNvIBGT1OiD9C/ooRPl3PDbM296UrHTOsH1qxOyrpsMqAA9BvNEuT9D7a
ZA4JTi8R0kUM1fRy3dRdxFvu4YkT1sNajv3+WYvKHwC3OYgLR1zSsGLSX9mUhCtL5aPP+FVAZFRW
WL0AKBuAn+rg3KR+u1VKrgJ5sEKUv0EuOi/boHvOCdKqrYLq0eezxxa8YL/5QbBFu4MqQmqEvp77
AQdng7c8ow9YDD0R08gN1mYaAiqOv6qSaxrqRFi75PYJN/FwV3hmuAsaQQqA16gPcoG0Dif7jDWD
PIqZrrPS27eUATc6GQboXBcYkuIfTMpW37pv6swKF2G0mpIfeHfdZVzSozC3jPHf5Y3b+0cD5MQu
p8PMNcORkQCA85CZah660StM7UW33A8ttzZydXSDcVBd+96vYpYl27M2f4I//mhHPjwBxTDi4wD3
jcZqFm3aup5lsUKOtdbS/SDVMydxy0yq4XqjfR4RnWvx8Kka+kGeQJFazeuS5ipB4uqZ1aiixMQR
3YSFZM3lyRRYB8oiPUVeh1eGd31KO7kISjGPdBruFNgaacrSF1Z8GdLA823dXQ7kaFWl1S6hS/Fi
oSGTpKw9FCPGp8FuNMltM0eIaVn7C/rpvnwKS+0RgOxIYGSzwMDtmIclOgxlwxSec0HtUL7Krzzc
mDyy3uiHqk0v2hRc4rw5ybM6bzOv1ImSjjApD4edvIDLWMVluNuHqXWPoyMGGOaAwip+GJTmaY66
Ex5+hZGdos66x0DrXlYx134k4XYBh0KlxHVQA9X9c+42yn3ni5dJiYh91jkNYljvmOOGAKd3paod
SPxBDzi56Oa4s3SFwW94hiV9P9r8oEQ3D1NNgAtO3fIIk/MSeRDZljhcryxZl40tk6bW3yVdeQsV
klRpfboo8XAvl0Gj2ijCc1mpFBVjD2VhNTl3LSd1odUnlACfgC/Xu5vU76NZx5e2Sc+uyspxM/ug
YUruDr9qlc1+vXsdgwkXINaxmBDSFCjWM3dg+sdJOOG8CxTZ3eHRpCB9zTw/61gKBqomhVVupNI7
Ze48FFEHxCsxHA5nxA9nfsBMGrLDKdOJwwYb0yoUEyJ6yP8ZyBCpo03bWrTPvoNkZC72SdicIpfP
asrr15K9KRZWoi1ftKy4dG510mb3mE2rCG+gZWTh0mv4Gc/rWSY3RlafUv05sdR7eFh7TJgufVC8
19g0LkiUtakXA2yUPT3hqSnrwk4DmR84glTjB6gJPfDIg/fN3dgS0eaqfLFIQSYuH9sbM//GxKMC
hv6s4YN4vJZdBQSCZaMYh8xBM1gVnz7uKpjgkQsk//W1HLz+utRiQSDX4R7WD1rtr8RIdF8zEA3p
88YS/AA8g+NSJPnzOHPUhKXgWgPHHR064XLVzyyHoWC3127E91Gyl7FsKL1rfThPLtUKPRoKBM5k
tkET16cIWys8gPM9lADWT33fltnPawleBfJOZ+e0FreJHqPOAtBBIVh6QrZ2RaPyuPZqBhRHRIgl
udlzaldx065kVcvuiXufdGsUbguzQ56J2sifmhtL1hsCnRgO/SjesADC3yU33jrWiDy9E/OYOOEp
DGk0zAx8SbWsT+w3dknIs7ZyW/oi2MPLe4hsSo3JwYU6MM+goTprITlf6x72+Flz00VVJi95bx3l
QK4wTRgX2b1WknAgC+CJ+3MIqH2t8sWBDey7vE3fst6EHhER0NSnBnf4cg7fbKyQ+JIPUNwFpgSW
ujDiX/oYzwsIOO8aQ8GFkxiHGIepZb62IQ4gJkQoLeTFXvUOjUMALe25VeHeFkPyghb13jDtdVxV
IamB2M+1g3bXGQSHqDjqQNr71WtQfHs7DJYKFtUrvQxeDJQCC0hX1mLUwxFabEpo86wcEtBpvolP
Agng51StAafkM40MB6iPg5o017VOICH6ZYJblBiST+20J7OeMm50tdoqSr8r8mKDat4gnFTYK6UN
bpNCM73kMBrrrCNrunWiZpM6ETbkBl1TNEYXwsU2sHWxeKrITw3xnOlGdxd0qKWMVl2HZczh3gaQ
dv2O0qibQUwJZQnQvDsFcptIdF5Qts86VMIFjDksUVuC4U092KuF322GRHuVMSCeamiAumDGC8gV
/I+tR+RyoErHEhy36VndBmm1HhLjrcH+2tfCvd2Xn5znI3mrK3VQSEdRKROqjEWoiueeUKpVWYEU
59r0yjWKnD7pN3Im6EVRecrq8LYW6DTUtH9SkWTGOqEG8qxL4plKj1J3ronV6Y46rEvbJAnRD3SC
2+UPUN3gnHBHYHfTsz7QJwOtULETAAP1LV/g3twtdIRLG1UfNtDpPeTU6qLkzHMLkghU+g+I2buw
NcgGt0uCJrUowdg/LJZ9Ou1CWbR2lbsWSXBPSkfiBcC8Xq4aMiUhXo15HHlg6ODzs/s4NsShTTY5
sOql7dHUqh02QOVVaUZgjdaFJXDjfOpF/dkX40Obq7t0hiXfMqWmqwiwRehIBCsYSKkTFb+wjV3L
QZtyTeA5XlIYWaq0Yc1w+Am7U48MdpGojYsO9aaUhMdIZlKH6OCo1F3SqTWeIJzzbtH7j1Eow5Kt
9NjryZHQmUirQ3x/NXcdEL5dQKjHdOpklPljKPNW4+IGITWRPiOqNEbFP0t7WMXB9NPCAmkR16jA
NPzUQ4UnCkblrUCjDGcu9Yi2v6uC8Ua0YEatQ+frlmrvwQncxrGBEJeZA+7z76Wm4mublGt7Uo5Z
C0PdTNY6XeKQi8NUwYF3tUNJYAwvA9pEYCyZ5z0qQ+LNJXQS4URL3vAaf+jIy5secsQrBhpHjrk7
Zahvrc59F/sp4ZLt9XuSNbAs7n5cKyJ5cqMTwLxdPJQWtwYJSZhLBDEgQs9X/AAuTzx2gRNJp3xo
ikghr6TvMUooKItMwzvdxfHqCANwT5b8Y1yre2wtPsNXGrWjSNN9TCGnxh2NGHPeQDQfsV253lBD
rsNNNXTTgPVT7RybnhXZna/iQoG6IWG1RZeOap99jBOJzykdUgyzdYOEqIRsaUYVA2VFuVNM1V+2
hn3BNe6jUbUnxBPvQ0olb5hEkAc64qike4hY4R2E2EVrjKRS9+09ITCr0q3J01Zczatoo6pTNdNk
NeKsaNz5hn/UagOXbAgsrqxOkV7LSRT9Ad4QZePfuRJ9un6zCiOMyeIU5IYl7DeFK1xwYpGtxGAz
YX9w9newB/qUyzxwjdRDRtEAzC7ssUWHqTLgv0ZcSERAQmsScgmTey1q3qpA3oDxZzLbsENiXoWP
lZoX2e9y6unIgiQJ7eMVIjLdkohXOi1XzSDUpmcsZo5+Jz7ehBWcc6pAvWe6oplI+IgBOAv0Z8Zr
2tMKiYBvRPM/tQF/ZKs/xbDZgNbsY00zneT9IXSYpYW98hnm+ODh7oyzz0W+KQwJDg2pFFDcoeI0
lsZIXw4h9KJ7xUaYiJ1zKDZI945pO+KkMF56hiNhP99XcyoVChFCSgrgYJhDT1lrGk9odu4mx0GJ
ARoNCGjC2dGoBsFt74NxKAhNuFXFRCcc8w+vqKz24XZw0LnwTzEltRNQrwbKGy3ITc9sDrgq16wj
zEfQMQQli7hJ4IIthxa+vl74q6JhoFMm/V2D+aV8ba0M6UhuWpfnw9XL+afScYZgguRn311v/7yA
5wIOvWlkTQY9lvrR1e/y5j3sxE32Flj6spyyfagp4TavQu2fB84m2LLCehTpsK71dOeg9SmGnvJR
1hetvAamsFo7lBCmg5IYK+4zqtgZQP2gVHqztEo+XVO4RzQV913HZ2p0WYY5+VavQ4RsYO5Ki7po
KubFkPJHnfKiMjBdsvZgGNrxLXLTnW2nTy3080WX9bTpidA9ZNM1f9khszxJP+qmQ2tLXTtlcClV
rXz2w1Wq8k5BRZCLVn2/DrRxrUpsbJjCczXWjw5plLuEkCi8YKonIYHrKGlOzAlPk0M5YU5vo13f
VhatCx6O95hO05ikL1MXL3OEBZ7vD8kNdEjLK95Mm/1hyemGyFj6fY/Xk2Wv4glvqxgDOJYsmzAe
OJKioMB+qC5quUl3YrZ+xTEhJGmgbXy1a3aY4nuMB3DpCi9B25zqum9XTW6CHviMgYkF/2cj5OkB
2tuTbGvz3v01KcNN7Oj6luy1d98AmghoyWCGOgtqk5dRAnCyHb5Cpa8RzihM0cZoV0bDq8D2fiNH
l27KeMoItwa1qw0Isgwyeur2KSg/Ch4b40sgVhikG8NJ9oWIj5gaL+OxuNOxovflCDyQ+Of1CAqR
Q9o5R3ZfnyaMzxZaOUvVzb57NPv0VcjvorPgA0SpdlRzbDyqrudgU3ZUN+ibuYRGm0hLm2I5gkq1
vNbsPQl3K+iCL6ExraAifmohsfHG5EC2hJzrciPgZYGlSjTdYofVLVJ+EfelDyRPHBwazlvX4U/8
eteqYPZR6azqiNpo9qNoEVfjzRxSSU8w6RxV33dKJzzacIoemBR0HeFljpML1Rx4l0MY7dAdZjlW
KpiAWRgG4R6obMf5FEDyDUrWw7U46mQLMroYU3LV4udOBwLv6xUR2Ohw7ab0BZjyQtBdX+c9Sh6f
iainfWKDV5E7LAa9frA788bCpANJl/XkjNHGctl4sXEvRLyqgumuS7h9ryOy2Lo1RvNNQuV9x9Op
PJ1vxnciGtdjrqMPU6x7TJUx3NPvTAnFIwS5l898HZTZAWcbrqkkGNGSE6aSPFibWq/KdTzik1RY
ywAbK2JP8QjA+xRxYjjyTnknMD+SFTMMDMyU9fUt2QMWbYle4M4APXhQnKOc9Cox5yVjym2jiQeG
MXLXwb07t0Cpud1szI6ryu/tY4sTXTvcXG9nVdDJNB3frpVpyyIwVtfTzR25TULuwe+Aoj9hIvI4
0ARBblE1RslfUDWS2BkuUW07+nGg5ltBNSMhflKfDDArmPArfB+O6JNoWSVmE8+iWph+epvjn4Jm
SWBokt7+/aH+AxCFbsJjAapcWVS/P1PGXaO3udISGxcs7bNeGbqXMGv3hi47VkZ5r2RP/4/fyDa2
sOz+D7aU05bChKzVbmYtMvBq0fD2U5kPGeJCVlxC79yhcCR/4e+/9j9YWiC+pgt26QoSqW0J4v0L
4q7yOtCxhGg3yZM/ZuQoRCxHVJTHdIwznCnOV7wH0ThGAz69OiVcMTPPGpwjJiOYbcluQZYT5CYk
yyIfIKCrm35kym4TvYNd5sLKSfp0FG3lZwfjmy9K+w+IXhLgLBjHmNcjOP79+YciUypfLQnhVYP3
JOhQ4I/DrmZet7nW+UrJ6K/EaVdE9m0Pz/ufMN7fxOD/FjL9BxoLfm1rtk7ihv3H7+9Eh7MPHfXG
8NlqQcxMU6IQ+NgzT+5rICbBRMM0DqgSvuWFXT/dV+DegmCjEmhjqar1Rc7ck9DUB2gg8bXE1jIW
a6XIbxNdzqfa9oQSk16DrS5G+/56ilxJIqZabmHW0Tyh/ONEWtQMIy2Ni8ANVqabFrQW1iZNo0sW
aDsqCCx5mPdcMRcMbxgyu+U5UhJPzlnIF1RWcoJHTfXYxf66ysYfSpyvYtLEmQx+YDYLh09W3BI3
mG7GOb8MUbnr5SmKT1PvTcyZUmP+gY3O4TrfEm3w4ocWbsvh5Qp1ECfzi6bt1Q50rH86BCd5twMC
wuw744yXhDzoTacSGVCh9pvagNVUoTzBFv8XsVgPmTFCpMHZR6argaYm5SFpA4K9Y3UtAG0dMwe8
p7DpEiBqpfzwzc3EFGvZ6vJUB52BoaBhrUQj0ajUT1dkxjZAuaoUoQ9GDUka432lvnfOL2J6aJl7
FeaCcswxv/OMgGHhGIKS+cDoiwiv5EGAlDiKCbya/Ew0iGDfbOw/mSMmeibbgCRE8ABUz983Rofn
iIUDa7NxIvu+lc0F84/9QK76pB/ksF8lMrDwDT4fzeoCU/lLVzkPygyDAXcSx7yX5b4riY+dSH5N
mdj6Rr5Pi2hvuMMps/hGy/A7ptE1YuT3FY1KSZgm9wBEBsy8fn9s3RnLCep4s8ncXkjCCy8OpAWv
5VPchxOie5aifFg54TBacYObEAl19bT2FYu+haUDWXvlqLW+vALrJCAxU1GKE3O/ywBaHenoN/r3
LKNXSGv6shpefsF4MqmjS6hxpkVAyNfDTY5C59beySm+cGP0OyEslWdyRn+GnbMuS4NZz9ADN4Js
+DUbXM75UskARS9zEcp8g9EmJiUSfali6ykKjWcrkXUAjK3BybZiGl8z8lAacFs0oXeSRJn3tBcB
oTcq47Uqz3bCdjeWMmOjSpX092VypVD+/r4lPxibBoZMmAZ/Zem6Wj9itowPdODTytZdpOI1DK+J
RT5EmNaRgnO2tXGDKnQRCwq9TgFyxrvpHlMDDK14Q73rr+IEk6FJFlmBz+D2WhhrFIPXwYBflafc
tliB0iY21kKuM9nnCYEXfQjlsc6yvUjtWwRXnFxFjd5AUXcSZcFs6YfSuE+ISb49Pf/cISj+VAGy
ZsI8MVX996XW9S0Em7qHYWhJqK9m/6s/jErpsekimpr1xVhw5lORcUR3HEr0OAk4b9wS8+U6u/z9
q/iTVWubBDgQFwafWyUl4/fHwYe8sAIrqDYYeu4Fwt+FYNlpLcPuv/+i60/68p3bMJuJIoFHKuyv
dz6sHL8SaVJu5vLgMKCuCgg0hbzIXdknjwNbjIAWwXh3raqMVmLTuVR9+2HbdN2RfA+KbG71AQJU
zXOizvD8yPSKDnBhKJkkMIKMk/Y2BDjiBZalZ2dwGZVSfUafjQ97u8/C8SgHQghLaByYPQL676/Q
iprbO0lzdQN6OSrGg6/pF8ePx2/ewzXX54/3QCSdSnSHaXL9/P7GMaxEuzuHeH7btFRuEZzhrDEf
h9MnD8iskZiwjBqtmI2PTfwsuwBiEtAAV+EFBfE3cS1/Vp22rZmQLIkiMv5kzKeia/CO1cpNnYLF
FJO+L4LqaAqw5dy+61LGU8P03S81/qyg8FADr4dri1eu/TV3Xi+01lEtgUAfY6hl6sOoKSO+o+v4
YpzPxHHe6za4kjrV2FeSctroxktOhFdq189+Z//UHQEK2w3HBpIBpx0xx9uezRvnFiDL/INwbAz4
i21b/zAyLfeuIzFznn/O/f46TygDWDRUuO/ObP4UkmwiSmsj+uzVbcY3JrUMtXPm8mH/zRvX5B7/
ugR0U3J6bYtb8iuVvTYRhTUjZwDKJ+peZivqZwv5bqHStULsbtu95fgcajgUdCrdNZinuuzV9Bue
55XI+fVB4JpCrYUTaZpfdz8yYwd/MlFsrmjZtdZCKcn6d8Syxxt7y/pnzwTruCnu4oyAzxLFTyPN
Z1WuG0xR+V44tpyxe+kwcnXalueUk09Xp32VANiVKqHn75p2j4k7E7wUZIxheuXiRmti7TXLpe13
tHmEDjfL4d3EOJQRqH9EjHHGOw4x3mffwoOoJmV1pcNHEMBDi8pfN9uT3Vs7pbRJqGXel0uejpIu
Rdo8tC06ueuFS64eY4b24JjPacp8ylDDn2nfv2YBSo9JzX6pWMd46McYwfR9zkRcPGa49Hl2/IM8
BtAtZGaE5wIBaz7grdHvSo2bJUgqXTodX9LQMD0gOcMf3A3eM9Ei6rZqi/M73o//nGySXeJOwUs4
a/CCkovGza4EzUEfjgqWAV7SwyQduW906W2GjQUC0KB5JHXgcZ5pZb45jf/UybD2dAO1DExfFbHD
76dQ6cxRiGC53OjOrhn1vYn99q2OJfjSZJZU6/ThmVGfhGmQnIdmWhL4YsxQVx1+v4sZ7TJ3HMgn
RQpTbnZigFO04PvroC2teBOWjX4G3ezS77pl16d7SW/ESzO5ydvycdQdptXSaz3KcpwM1PoFsXG5
Bhg8Gy51azxEALbd/Jx0mnelHeYuPxjrOkaHYl2HCMs6ZkFruwC18bXu5e8v6D+OaYfrkOEAEhAy
Cswv93QdGPrQAj5scpupCE6T8IIbJ9jEpY/CwmWUis1aUJOj1cy2dhghrRmagT0efjsaW6Pq/e3f
H0nqp74cG47AL0BHl4JGSPsqyHFBa3G+B7EkjQjVqGvt/EQ2A1g4GwP8AzNQ7sa5lYZBZycF8Cac
pMJsJAbZJNWOCkIbINS9avPeJkF+Uat8y9wKFhpccXNlSYwKEHUHEQ4XunssN2nXcgSSAulJZvrv
wVwQp2CAgiCnx3CmbgH3rW1u16c4UbyoUD3ZlUdBf2oLhohwLqwGqoflbLshhG+UjndX6GaYayI/
x3g3W5iFjEUA7S9VnyYTdiNUXLq92pKzKLBIVMrLeoTXMSHp8qwOTDAlRkzRHJoGbBDQC1KwkuQe
R7jnwce/yZMAY1hzYlHicwfZ6ajrEMlUcA83yhLoqVgopHMxQ1qQ6KE1Uh+SyQp5EylKVhp7tTc2
zTB/MzbQ/+sLZNLiaLiBUftZsjb819ijrxgzx0NYbMoEoL5nmUtKAn2is9Q1xm2xE6QLcrIrLKjD
YQEj3S7BXjmkSCEGU0f7UosC9YUNgbB7vBJdZpBNL0xN3tYYelc8B2EyzAmm+KqcSxdVBrMzbV/T
l2Cijswto8QiNPmmpv+zjHCERVnLMavCV/86UMMtq2zwGixwyTE2ROBALuZwnosVLG3OdzmzTmGf
/H1LfM1PdWw2BC0bQzyDilq1vxRTIZEbOFMwCFH9EmRqjpaWyzBkmI1fUTZDE+DYQvJ+zrAKx9Kl
WcJAh7c7iGVFHivbmo5Dzkkq334XyQRrSRwcuzld/8DFgA3i5KYctQPY7Hdn8B9TpOvDmxzDnC9S
3yPP6H8tB7IT4liBWrap3eHZDqybpNqbQ8OKpJjNhuBW74pHvTMeWkb5f39xX49/frU83tAX6YRu
ij8qkKQ0G0hPCRUIjZWs/SeF2t9ghu4xgfy267meTf+uNGxuCo5TNKnI6jT3+kX+67MSN1ZYeHaF
UjJBXJ1p0HgqY+pNRQ+hzqjt5WiAfmcg2CXaAlUlAJRBFgqdscKYKAAoSxxrHdTwTItdZA7+1jUF
NRJ5D3A5ae7CCHKS0lXaRp9soKcmXIUNQx4oUD+bxO3xpMNsLRIgF9IwORThEiUhXA8LpgpGnWBn
Ma4iytwfW6y3Bkt7b5JAudW2+PcAAJM0wM7LztHc5uvURBaJWnER9bUlORqHuhuwRR27t6IcHqG4
nTqyrraZfpoYh697jWdVjU7g4meU256wWQwD2tdWNP3Shv/n0RPWYOdwSAITbhAsC9yHerJNMSA1
k2o1mXALxuZnYJ8ntXpTGeesep1ksWCQIbbJAzps3h0KOcfWMfZBcG/RcC0mkstUCyYryo4bq1Ji
IJ3mTsSTCV6RHnDdxvo4PGSWmCA/+GTROQ60he48uvNrmMUn6aVSUhO4rnpSmTcy2EwJ12vNPRn3
jP7cu2YOXw1NIzLKjyHDYJVWGnW64sBvkfUzvTXFogvbaI0CuLxtMZzrIgufr17dRcSPLBUl38By
KSmz3NMs4cTIyTZZ2oRLlDeElDWrtgof2542ycqqfF3P2pb0znoz4520Ap2Fq6LSxFNB5HBWQxSH
OekopL9uYr8UC8ccC95Tk92647NS+gHEgueyNR6CMBJL/LzwNvBvHKYdUDvID+nwKVoqlTqtdFPZ
CUyx+T+6AerP6/tmI369E2zh0AcJJNNcCCoT8d8PATdAaaikrrPWZgJgSZXHXkkORShND6wtStpG
NVbchghYVJRLU4jJT7u2sPZxAmXdp+kvRBsHfcY3yAIq5FNgs14kxnKqo88nh2vmVlRdtLTjh7jr
LcyVksWsQISP0vAntoGpl5r52YHlsaC8sLhyqN70jEFJFsKscGLITKnmTa2+xOw+X8+JTMxRlVty
PaaVykPjMWKT5KFjt+HW1ary+VFuORheXJB6HIpj3FovBCqeCJHij+kGl+pmiPRml1Khu+bw5NMV
r9SCe9gKsv9bwCyrXXDAcboiJOSSUL9cun5baqZeJVi71fOmZphHc/9NNf018fSf32HbGIW6KkQm
6Wn675O8ohpl8Bk466EZ9pnMjix6ALgJNsEiNe0n3bE+sbZZlq7yrhN0y2wO7tffV9IfXeU1S5gJ
jo1UUp7rX66TQHGs2Apre+0GZEiGUwHPC6tDNMVED2KSvsXz/kASwYejOz7+DMO8QSywLGqVirbF
6eHvzyO+tvgQmWVzK+jjUdoBlfz+UqaKNKg4K2x8CktlXWYv/Fp/UbfK2p3hptDQxTG/OjAdYrkm
iyHw1EN+bPdYfj01Gl44+Aky4XSxhiNrbJUlerq0GmfFoH9c//1hrf98WMAMwQgEbfm19v7X/YSv
Jn6LtWKtLXSmeCRmr/1UNdtBUZaChoRIoQQPO1WlzEJtfasVGlY9eb5MK2IJhnCKH2Drs3UPY1Sb
95NvJosyDZWNPljQ4Tr/GQvi2uv92PDmfHrWyV5REntexinM0VqDioVXQdXWO62voM5Jse+wjjWI
1IM9b1HB6ItMCd46jZMc0kWNRXqx6sZug4yrOnQaVpZTs8M7e5mFYbpFhY1npFBxf+Sm0aqx3LJE
bwpzmh/FnOP+xmCrAw++yVLyz8ZcizZqjFlkVuQPNUaAIMR0sX9/yc7X2Sd59xr2yJau64gvqRK/
rIiotYyKSo55jYi3eas84JJiLjoTOYtaBmjU8bnGVvQj9ZF/X9+PXWjLilrlDl95B5KRnyxst740
IX97JDXRy4Pyhx8CKaXyZc2RMVMpjC9Y3D8lqdtuYhUQKnSw9oqVZTk2nP/ZxShpjMZZXLJZ/6hH
6dbTw0EsyhJrM4E5OFxxvb1NRKavoB/gmD1Rw+LohVhCirfSfm+qxU8na8zNfMecFjirjfDeQTCh
mHKAXQZviH/6BbE18yIThYQt2qeu2FWtmL2sFNiaWtYBlgxyLsJKCcA7Tl3abHWcZRYN3FhP7X+2
8DKWjlx6o+keq4HSCWuot2kuCaBAuk8qOESEuCQJE0vThjg4myJ8X5PPB9m/eE0yXPQjPDUHJ1K+
ubnMP7YM3yayVMEsFwBd/zo8Kl3Xj+aoddfYZN0zRbmJO4Ww9rjfR8HwnJHlwfwMDz6fHiupWP0R
NgYepqcYziaB6mWs/QXuvTZay5RPyLWSY0zupS6TF8i/MInN5lc/kdqXFnfE0RSrwvbcQpt3Nn3f
3I8nFRey2yRwtO0oiI2y0IlFBMYt8yow7/X0lkitYc2SvGDB9sGMC0+nFtFZrmBN2FkPuOIo61bw
aFb0Amf1QSl8H6k7Ud19pEMYnfgMf98Dfxb9cuai2Qbot/SE/lr0T2MUQu/grRGxfklgUqaqjXR3
GttVhFiJAbq0AztpEKpIZ/W/Q+i0P+bwbEKKFceUcJdwr7bX/76rgGAzoXYtx3LQPblustMjcq3i
aNgmbaaukhrrW+EHDRTwXPNKG4/9XvF/homot53dflQzYT5KMNLqO3LR2ajTyAGoRsxQwSfeaptm
Hh95GkByKNCC9a9gNfshsO782WzWWtShYr5RyvqhLxPYs9eDMW5PSRw+Epj2ASIxLyuIR3CYqn0d
c1kFdZR4EgujA7yM1mCuW/Tinug/zAjbfUFkFpxc1pAApo1H68dYalTFpSsYVlLWtrtO5z6mrkI4
D59ZpCOyqEa1Vkmgk2JbclfGk17vy/Exacv40ZG4dKv4S4w9YHAirQALQuWaDqeaWJ4FIvL7xNBw
G+gxWkizclVE+DQoUX8njPRBi2H72HhH4zjXYJPn7srJ1pZWDeXdsGC4J1H/kbahttUI3A4xlr+V
M02MFOK1nioWlENx28hPDg7PB0DnzKg76VccOAs78n8KTjv2u7y5hYkWR9gaGLGObaHpruvMxtV+
GDfaoEMuo9zNFEMGSNT4b5g4DSv5tEQCgAedoqIr73qbcLBx7RKisa5z9b0yIrC/Tq2xpjUnz6wN
CnklL6Hg8d/6LpxXo0/llvp4KfufTU8hWlmccYgh7kbXhvuFfmBv1czKiAiC92406FqVQMfXDxYw
TnvcnI74Dlf8OoNgabOlGC1L7wJZdvx+vzSWlSYZ0uS1AyrqxbYRrIMDK5kxXkppbRRLcsrib3a0
80cvbWggFRQ4uulQ7/yPvfNYkhzJsuy/zB4p4GQxGzMAxp3zDcRZQMGh4MDX90FUd1Vk5mRX564X
I1JcKjzczGCqj9x77s+67JfSISXi0mazBQdcF8V+HrunzON16544RcnkqzVpZrmD1KhIMlJSm7ba
FCa3DW7RvJzrIF2tCYo7XYppAefQII6qWgTmhFrdgo4XJ1i17aYiHhQjiLa6x3dNxTAtFcSdA46v
MHfjDx9dUEQJn4e/EO5J5GQTxuWUcBXhnBXgBXCclZ/antRyCqwwVWmJ1zByKEccm0Y13SDB6jfZ
ZAHnXBkiInUunoYx8eeJvXNVoJdZ0bxPs9C2mm7ej4PxUhvEfRWH2XOQZSZfjExJgQagYU29u4tw
iDCmJGZe5EYwxgkZCkzKg1K6N7gBebAZ7gSRnR2aGP27lwOMHXK8xTV5Y4tS3qge8bVi6OllGfwT
YFbth6wk7MbgzFSTPEKuVNxIi7FZokAq/jdntc7z8ruhBV0rCyoiVDVmrtYfB67szItGWSorNDMT
GjMxWT0bzLAcKJ70NH5oyauB7X9YwEWGAGLQlbba0czGf/OL6D+pBb//TQzV4pnWGByi+PH+UNu7
WJCkHsdmSFKpESQzjOGc5KtgzDJ3Ey2QsDOmFwTOIUNMXdLhe5cvopkEPZKuodFIY6kIr2l5OtYL
yNeoOKuCz9EZy3R7aa0p2k4MJxkm88mnXfSsDpw+amU2EF3re9dqcrhuBR98bV7aon+3YTuHzCw4
khpWA64Drti2DotFEhxvabNtxtAGbw1kt3qf10dGmlzput2eE52DlTS7sPeKQ7qeoqndseTScRVG
xZ3XpT3dqgwFlxtfDPSXxEAyKXYvbl8bwUTYNg2EKz71lazcdMU9WSRPfUnhrGPmCRTM19vR6F96
dJin7JZVDbSufiooHpqHdpVGVgrrCU95cJqODmMggzWjpl56oW8EXB3KKDaSxWizhDGqe6XIwYdB
xC2c4TRNLBOdRrm3RgarWWEj+zc1Vmb4+Ws4QQsWuqFkyzx8kR5Yg3zI1VOZkV7lAdtlpk1NWReU
dHwxmWCj8d+2LgbAZKMH3qQfci12N02C65QZ+NaZauKFV9tvodMMtS6m0cUs/WzgXpC6HfnMy6iQ
lCbVqGLiBs2eqUOfSGrfmUW87ZcbI5/nkGSF2yTJlFA1mj1IFgcZClUXoD3yNdU41JC6Q8V0kTmx
jXLgeSFHNzAvkpdMRrkSOtmpmIsxFIUNIKExXobi3smonVqNFFWVrzh1lcEt07b7uVlTliPja2H9
i+OJPUICumvjfgzQBpmCSdtCAdxNwHJt2wuJwdyxfRuOdtIdoCHe0r9cc5xvEtUWewtnj2dHja+J
9raRTudDKba3EWoqjAYfXYcCq8cH3drG4hMZTeypqp7hfWK8cJaTKLQ5WNAcbofJQOegHfmwUW6v
7/zP40ZWxFY0TSe3AyEJfkwWw1YO7Q/Ti/mowCuiPNFN5iEJX73RZGBfkgdcGTmK2NncEiV/E8dx
E+iJ9wNG0JNq15eO8B4/HvLF152OZGYeJ1Xqc5jO2NtkrhCsxQSAAcm+twnV82yArBHoXHBi6vXP
YVjt0c/wZlM30wMROGgHieAX+nnG/a1cmb/kGqJH/Kxq5kRkCvxP0mf+8gf9LwQkaiqyA8qEX66E
PxESL+jymvfiVxriv/7YP3GIpkEVr3H7a5ats0f9Fw1xne2ZHNdsDVA5/DN5Rjd/M8FHs8xXOdU1
9ED/pCHq2m8eHTJjJO4c/ixKtb+RPKNpf2KIWaa7ttsrSIrpovXHubvhxUqlVRHZJZnxhMHqSU/6
6eAt42E0J/qeXuBX0LTKL+46D6mxWJJj4nYWUnMQb6z8t9kSEFOK42AaTuyTrE0x4hpvpjeoYyXr
YPG8ZPqrbC1nXwD28QgyXJfO6CPnazk5Heq45ZKaPWW0lt8oaqEeCfZC09Emekjnbvgdi/VtOuKY
BL+g4qT8TKPmXBBxs4mTYdzGDYM1jHgNAOva4pe2hMIfwpGYJG8Spy6VleaPhn0pcnGrZ+Yh64SJ
omyNv8G00SSv9UChYzojRvW2cZCaVgjU0efmNtqwokNuqAqiUXCJKjsxMnTts/Nkpm8Erb5ABugA
+GFeHrmF2ZpCOlKLJmD/YAbgbj7NhUa2d6MRO5L7Ia3pDCgJoWohlpNnrfK8nxhhNsjWaFzbefTt
aOIwq+1NMT9kMy4LPYJzIKzHtANWLfSOo9whO0fPsHmtebSomPS4fhwy4wvFbLcCgTZS6m9dSrfY
Em27ca6Nn8sOllmbgv2sNxNbMsLO3SqqfETFQw9AjIXqCfDk3pfWNczlRzKPbdgf3jxdEciwHwhC
xHennArbeEUu++yl6isXNBAjiac3Gi+GU5xGx74TbnOO2/aWRR9uN8bR7yqBH6ZRG7t5qk6y6iu/
I0+ZNYp+7qtZAysODBi3cDQNw25o7sVczNSZ3TMZ30fDzL9lxjiZ2dVmWBpYsqX8jEdy4ypz3HRo
CrYIgV50zzxBAYL7Qilh9WLT2fWt9MRXnUi86B0y2yHSngdn8sXiBt5MfgIRwAhrSHaelE5lpK5e
M+0Puw6Ed2exMunULmdWXpMNnwyf9J3XrtfWYVLMYb4aMhYC3jfVwnE+Vy7elbxM9ovwzlpOAE9t
AFbR2SkLsuEAnSJnTz+bCLyxkerAEMAcw705pXxtkqZ3mEb1R/aLV7B+PDwjLvezyvCrVh4N0Vfb
SDQ/SqwYfmJFZzkmYTlNV7hn9CCu7tkIhvPQ3uYmOqn55HjdC5Y1VmBZd3YcNLaibc4Wa/OZrWva
yNuYtOoN/sKtM+i3GT00snB24aD6hXrSSaytoQSEhgcHwJvTm9Z9UQbuqwYDl5a8UCyM7Eb1LoS0
LraJrG61gcoMST8NP8qsPKWLpBQpR8mjFtXvfVldUEZgKNTzR+nEV1XGoyHXRX1F2ETaGAtXMGhj
kuQSzBTrQo0rdkPdVhEjj2P8mEXT41z8SObsazSjj3ypr6sm/xboX3truGewTe6Ds4Seuw5ICZnb
9Oqwz3SXZYMLZ1MiKEL7/dTE94ZpjgfgHO2mNanX84lYKjHdpiX+7iFKjnrmUQgQrYMeGussMM6i
Bs1eZK8YVWHP1wlM79G+jD8k8qsgWcgaRYWobYXa79Hw7e2obe4qJKNLru4FVFg/ieS0hyhkM8Va
7IS8AMu8UprhrCYzYLusgWkp5MPYEm4pvfS1jq0f+YqYlpexKesPEqG7QlKXLmTfmNS/3s4oTooQ
2Irc8hH8HHPSqo8DDyrALq2kb03JY2qmd/bCl2dQ5GWWzjkH87/p4TLq89PYme9L9kr66DXzDXY9
Y0pckOpb2nK3fuvWCOqNJICBTEON9VdJ+k1kiDdFDneFk6vBnCD0Mqec76p7NNPB13pqr8RmUFvV
fAuNSZbbjtijqkzuzZhYaGBTREgWR0DqT9no1y7jNIQ2yHgqLQsb3a+08ce4xEGX69jiqpqRNKVh
TFAyDUYT1AMi/sqhF547upvKqcAKTMSwjE2P7y76WmKn9ydRIcAyH2KHO0qB03RkO7VT0KdtusQk
3128NUvzLtARYjoWWECBqpG0RZ0ZberRzg922l7RcgGmkZjtUwtMv87HNJOHQ7mZvik18fIF7wea
tTbUq/ohZY/hyOg2X2gRcIPf2Ymmg8WXL+YyMqSqvsdxyHauPVxVc/qO00qGGaT+pcTeUCKzCtRe
PngzcTO1rVxXfXZrCYGLC0OhK44jYBRfY3LnM4DhzFIWzTfXlWkmc5gZOiO7TIVcXA9Y801ro2bG
szM7h24RZI4E8wDyE5iPzyP+jepglfxrWP1MAqytzt5m1NUu0HWaQz3dDrkDYLgLXVOETkIqp1Y+
0RFgwJZY2hndfZrsCn8KiECQBKWOs7hZyCezcDaHM4IMsg615rrWLeMqJ5+9Wqy7CjzNhYDap9qz
btQh1+5RZyNPkcMSDlPaH6mITkQ1yA9TpZueHJ/MBTe069wOMDKTGiYsrIRud3JNRrQpDsKgVpbi
GHf45DpbG4+45neSudWuhk4dNIyC/EjDvVgZ9XTRvIM5j/odTcDqiyOulxRnNH1HzWS3gEtEWW7S
eOQRSx+kOX8aEW0WZbvOY1xe2ZkKY6KxilAg4QsmptPxD21Q+HDSDEpJvMKiWCcbUBfq2SSvyR7T
YB4B2Tn5JzGm9DWWHi5j1h8NPXe3LmktlAlafpbgmc4//xNGsuTQcaCWi3lAdLc841ZqQrXqtFCX
lGakvDy4AyknPWLCPZNutmNEGB+ZlBc7rQYWPJk8AR7IG/SEyblpyvxUMxnbrnogguQYO0HAPspB
Dy2ZErNU5weAxsLn8sifkJ4ylB1ztidtcWVFVwj6kgOZCJD2pY6kbUE3043zK8/ackUL6Dx2yvyQ
tLXYaXoz7InnQ6VZ95MvXxanTwC60z56bpEcs5vJ1usbpI2NXyx6dzbU+tae+2ZfIvK8h6ChUl6w
i1qEu7VLvX+QVl3v+oqFoJEBnhIRNgmzKpAXuPFd04M8NPRD0zrd6ee/WK1p7IcC6SUqsprVKkNy
MDybRs4nqTUOGTkAq2gSS5bRXguVTj6PQ9XsZtBy4snG58p9jr4KuekDf5owQOsyAlwr3FgeAc8d
y2Yx9znLQATFCw2hNV5Zcw07cEmobNoEsM74QJ4Esq2i/LZMK9nF5oprilqdObluBKXp7trR+zF0
vMhS59GsJVYPviuhKcW7unz3PU6f2lTehgyzumuASE5GvOtaW5oHW8FMnusvIskhMpOBLmz7IdHS
h5JiIuUsLEan3GXIshG7cDxicWjp4tWj2jofbeKAhzWycZdi7TgDq+3PCvnm5ypRGDz/sPv4MuBM
UWmgyZWz32SkhMbSkwSHkMLVkh/zTKlFThWDNdFt2Zv3ga7NZyIfT6J0b0YWNJu0tkVQqdiJpnbX
6d4tqhKObrzSXrIKzrrkSarRDtI1TfNiU0AwmkdPydyf5G6EbgWMDnPnkkvDcnrDrcC+hVipouzj
LU/zD5oWqn1TRVG57PNevY2ycts307maxU61J5JCtPGxrqYno9Uv0Zz2e0trDsaQhQXW/bMgzkQn
FnKXa0yzerg01TJgBaMH8iUn5Hkcr8ADDqciU/eDnuwRmT60CSRKKkcyEFGwJCTxQG/4aqDIMHTe
4y4PUDgBjmjpelhkQeGCpYQryEmvTFM7jCPpeHqd3Q96TW2a3sz8ZY0nXqOW5QJq0EPVyed4at8k
J9SGgX/UG1uz4ZFSWx7laD4VklwkY8meEOXskqV8k7VzQXHHbCZ/M621K5iah6pUvI0kEX1pjU9b
Qf1nlMqjxMprD+JkNglm7Ay6Wto/NBp1Vlfb3BmF8VwSrTSXzo3KWoThOEneRFWNlXIvwd9hlXDw
iWGcyJuaxETjBuTjhAsqv3Pd8qXppkNCLVKa6r5ri2W3WMl5UG2USlE3BVTitMbocLEbbcnpepjb
9hmC/qcdTd8dyMsl8Rie9kxzS7OGCMMAMCtm79DLOsiIOD0jeUOEVR6VCsB53bWGn7Lyqet+2C+j
/UjqhO2DmGMCbWhQcNFI+RRBD/CpUXHKiAFe8Un6IIZMV9ksvQURBQsmqcobEt5o7JKSg6vdy2a5
WVgdp4b9MJj5/dQpr5PGXJqQEV8bRHFQLcTdFQ+sZjKNSch765fsC9GLuSHx6USF/pBxcvqgZrQN
prIrsjy286y/VPEjctW0nR8rnSHP+k7bS3IzksdGotGn0Kpv0+QzzDJ9NyGvWQSAi9Zsjh7DI98q
siRI6+qioHkMWCHu1RI5DAN+CrkK7InfrsQSj2vfqjImTyrj3snQz17evtrV0lB2ZbgFhm5tcQsR
SpZ821jmHy4MWKRnH6aunAcrPWpiDXxPym2rMPXjMBiqcE7028Ek2bFfISglgrl4bQoMADnZDXlV
vBFAPlD9SAOZqXKOHdIsbWAdmdZ8OrARN8MQBw5pjvrkUhhXLxY10LC0Z62G75lW482sO9XFVKOD
h7t5wzbZ3C08GFVkxz48Goy7+fygCeooyHep312WYg2pc62w7i3eSfr/PB34ssCNBznqXGbFuk/z
3IaQjT9IVas9ByNaJ5T8amtvMWx2J7q2w1Ly9jpsHgEYlaHh1NdN7p4SUoY2ri0PyrQWsQTpkaWy
bKQbXWuklAVltrENPq18ZjAn+ujDQKWFEHr1oiHFSsXMqFN/GfJ576UiOcSx/i45MYjG9eKE0KrK
hYczl/HOkRSVlnOiz7JRlqWPhZhDMT4B6CzDSGs6JqrOFRlir1k7XdkuGtC4/9Yb/TZp0HTFCH2N
xDCu+mkIWK9YONZpmMo83Yk4osZrGEcn7QMXFPWU3CgRd6Bet6jtHPsK+wBSeoSt2ViyYIZ1ouhR
twX59dUJ73Fwd3ahDn7r1iM6uKH2L5BTzdTRTpAmgDbo0QfiHQ5jy5XbelgOJN3jKe0nVF7KNzRC
eHlVHBBK3G9sswKjnXactmtM8By/TEJ9XQa2ubXavPNwiGXJTwbV81ZlzEnHNvkjQDUvLb4rxyP2
OAaf5CH8GI5FpJ5BlLhbjeRzH9ZeRqaXuq8NYeyrGAraEl13svxiOINcY6LXqjyNnII0KEZez0Se
l9vSSNryrWc+tnW9MfSciZahEE9iyKhtxUzYmTAOaUdniMoIwXVDWLgxg41xxtfYna8XO7t4MRQJ
CdEVQuZUYkZyDUy0hWS3NZr6m9VJePj0ACxhcWGmUNIsxNDBrIgdVNmPQfYQmYmGGxrwHSriu78/
wAWmwj/+22DwvxzN/m7Gu/uu1myY9o8/6n/v/BbB91+nhz80Sd037/+P+S1/7D/nt/pvTEftdc/3
k27u/GuAq/2Gkg+lMtshEsq0VZlZEson/u//YYBrWeuUFqHYOl/Vfxng6r95usfKEIkF8ioVKeDf
GODimf7DCnIN1DFJg2EoDKbBU1f56C/L5ZjKpEFQ3e/TWNzrcuTEkWGaGm+JisyCq/phVk3GHvaF
gjiGNjT75cBpKtJJ8XESnWRNY3nSHGRIqeu+pHMOfLI1L6OmMdPtRsRu5tD7dcFElkUVjqZA4b97
I+jOziDMjEq6lIRgGw/dZNOfppp3Ksb3+M7TZzug121OrBZTr/lmrYyVhDWb7VXor5eDGiXXuT7t
WK2C/so4IxLChNUiTPRJDZi/PiY9BxQBwAWpejVa2zaZRbBY823qPKoFnb06O0/zbJ1gdoaAm+9a
e0QfM9X3w0zIdAysotLf1Nj4aKYo4Jb+MmMD5Q/VcS6wa8228+yNlGmWQ+ibwKvUW1/cTdM+K/YW
2x6A5FxQaqVyfpVKeari4S1p8z1r3/PILvPUVCRgDBzci70hX+8m1t5wF0i/zZ1+ow8IPNNJBF2k
XcGXtY8m9LvYdk9C6at90vHqHKkfRkcFhWNPyT6ReOEpjnt3QBempCIwM2X088G8S1WGsqWX9Ad2
vfVto2mgv/s9R3NYDPg72oH1N4Yc3AKnyK4uJMg22wmk3GZxyEQbhg4lQJTdpNMU8XfkPXKq2Zcu
BptcsRpqRnNbW15yGKsEM4kT33reUmxsFbYXYRS4ZXR1gzWcij/L5FZjWueh5TvgHuMSSWIo4BQg
djnuEnzqTO0KjFBwED17vNQivVqsR3B36pn8Je2CyoaEd5cygwhdgbnTgA+DshhIL8DAKDF9b1IO
iQ2mbxXtImect7R7HrNe+L9J7XyXS45qBnMnHcawcdIKq147NL5T4zqKywyzS05nyxTyY6ipJsAx
hU7s3iTOciS59NQgygD8m1+3XdEg8eG+Vwfir2eC3FI767kApNxBHEKC2uh3efeCEFBsjYK2Twcb
5vXpVUHOgpdz87lJTz/DZCvP2HOa8knvlLdqEVAitdbdNgWjTEinfLqQy8baXpfZBAATobFMzlEr
K4UPggGXhhp5G+X20YGWXmHST7U1aaWm1BTLTBqsE9ZMjILZVj5dVo/bkUBmHmUwYxoyWE0ld1G3
8M71NiYzGKY92wsE79LNoILbZb7rrOSRy9EfLffktstXxt5847JXoUSSd4Olj1sEtSui0RB8oOLZ
WffnXM6YGPgfMuIREho9m4avaNWzuXaAhYAgueALXdbukPDqH1bap0FaMoiiy3IqD3snHeVINSkL
4uclSUWo/ihxh3O09p/D2omWUTPu2jZi9SC4GOlZq7V5TRsmeZnDVrgnggVQcb1ZKrFPnPwhofdF
U75J1mbYoSt26I4nRkOHuUHYwI9q/bThuMM8/K7bub3Tlm+wnO/12m5jCuN0oAEf11a8oyev6M1J
8zMCZrds+tfGPTfjlHzy+ttBtLsb8wWZ5QTO0El3edphhVTnK9sxJNwRhgLVOh6glDr2Yy2PROP5
i3Up1kFCNPQP6jpaIFwBSjzThgUVHKOH5jlaBxHtOpJImE0MONkU1TkBX6AWqvHVMcTI1nHG+HOw
8cI5/qHFXhYS8TKFtT5+K929Zbt3w+w9LFN6UxoKj5p7mg06aQyp+0EwqzPUKfajKjKODWL0Qx59
xI2d7Jq4tsNocrUd87/0kK+I6JZjWHUlghokWdc2uaJ+Y6beI6EPpNXWdvFp910Y6Z19zpQhChK9
vGsWNm+RaLswtnMB3Itsc0vh/VeVyc/0FdQIXpKPhgsoEyDo6PVMkqEYHsXoQMchzBK2fijB7isz
BpaTG6EBss/PyxrFSO8moUyRN2EL36qxusubKaMJboknFIKL3mt3Mrmi00suRia1vdeMl7imnCLw
sg+aztzaRt4DCI9QsmivXNtJWHtgu5UOZpteY2/B9f00adFjTMG+0zXEGGqp5OHc2dRt6XhsO/dQ
TvNTZ9qPeZNFm9FjBjiRiMojcYVP8iETMWoUZTzhI2+3EYJsUka6nV26+bmZtaDrtJcF6+ipBv1K
M9ZXASitKEPHmHRtfJSxsVdMU97aDexY0WJoRMBlnoku2Ncu9jRGRUAhhurYR823W7Ac4aG4Gicc
WdWC15Q3yJOGFSgNMdkQQDH6jfME9NOhbC4Li7kF+heZPEjhvHatfSTNbD52CKsUk6FzPIVDR0Ir
cV0L8+XSDBOtelOT5XbUaPgMizq6ED2BC6sh3+lmroLKfvSqY6vsFwtD0KIermq1ZlUrSgHKgV2q
VqXXQ15wq8/LLcGcH2OhfRGZxZYIftG299TjeiCqHpLmNnK2mUbwfarEcGBc5V4pMxzSk3bfz/Tc
OsHzS9cTPOS65KqaYwBDdAV91Cn2Ina1WsPVUV8RZRUV+q63jOHStObN/JO1vHrJGA/co2x1uOCZ
C6ZmfmKoEcGyBgKsitFvBLMFp+D/pGUeTEskSE7S3ZgMiLaOwoIvrce9alnMnC1BNKg1+YueYvQC
ttxU7Z0pCrjcenXVlzRaxVLHQeYUNxNvyhHit5mUyS5LWnJQB2AqOtLwQK9ZUJYOSeMaa+mGxE1b
nS5CY3JdL9ambqcbz82UXZfEvGfJYp6MoQ/ySnNDEhkIjpDjnSJSLXTMAWAolLmdBqIb+d+Pvkif
B9WMV14dtG9XQUAYM7P02itF0dsT4F6LUFc50jdTEDqVgO9SNj71BH63pBK7rnPRRmocqy57UsVB
31ZTo/SOPPTWwi6UXYqiw6yWvf7dMQSnDkn9ESXAQXgqfDI2kLNinPDGrGCkdXCqly9Uac0V1FCu
1TzZFFMWkQBOeeOVkGtlJe6NQSMNblHJNJtdj21OehjSnMEgzB083Wyx45bJAHXZWfFeZVTq4Vyy
cLRUHhMpC7an2vzAMxAOZYlneCxv2jluiDMpv8sx+ujZzCBNm52tfknMmHlIazyzYWCtgjl4mfgt
1kzmqSM8SZrRrmNMsFPS/jpXqHbURd7qbqn5sbSBD072e5ZZQVITnEccECaMbicw1/p13fm1Zd31
2dLvswjZJ85GEBWNfkEZfzfZfDOlGixGCbwkJdAv9pJdZ87v6CGAr6bDo0vf7veQjrE99I+lnpzd
mRmM1lbNwWxHy0dJ+zRVodqSWSlXILOnUqvC5QX3L31WvffGmIUyfwWaTfnYpiztjXmfOW51GWIS
4c1hIP+ZbU+FfHUzWN6hU6TlR0pX7PhO621oYhlDPcw3v97UrvKqFJJZYMGWsExVpKGlzmrc+l7S
ikBirTB9dNxfRWN/WgRpIoVjCt2OqFoZMj5MRnzsDOM5G9Jx20ZMhfTmPvYRgohNEeFKq8roSTUr
cAta8lBZ5RHlrBHgcn1vzPqbcR2ahu2AEnLn5eV+YcvrslwidXszx9xyems9Y5oO9WISJwP/7Fbz
jHUAgjIAIBIiRqS+bo4Vy6hkoNXFck4Hex9RADD9bc6dd5ZgDLcSeO4ZwxlgZcDoOILqnV7e5M2+
Axrq67X7w2rTSzH2aNDK4dtyu4MSoYPU3esBZwsAUXy6KfxQD5Ih2ogUoZkqUN7hPb0C18rMo/C+
GcjgDuW7vbGU9C61yyV0F1DZVIky33ejBV7P65YQLV8NJymQOsmOPQ6VzQz5zddKspogDRNJrvp1
BNcXsxyLS74Rs2RJJzVjm5DpIb36C2fRhzqCjYlH615aGWSbilQ1uWAvcZ/duFc4eYwLoeJhXyEY
dAER+cucHJwpOoLF+UpphpboSgUmhZ/UXYMZVzabfb3O3HXvkQ2r5Sn7JiG13BhiXJUFSv40do9V
pr6iu2bvP7RjsBTYOS2lv9eIS9kssbLjFL5VLO0p1x0R8L5/r+GpJXPepWfqS/AMG6PkWHkC6GfH
6gHpy3eMEXtyEUpMyCNmrgM87i5j8zxFBNquq0iArcAt+23PbJ/TWd5ZWdVdIefv/DHnu+VceVr5
mFb5ZxUXVDp2xkrhSoEiuvXK8jVlwbGpU3ndj+leXZfw6DazvjhVShXMpb4fTetLaxhbV0rjRx1T
tgHM2v8f3vxP0ol/qugMB//XXw9v/Pev5v0f4cTvMdHE+/cBev+fZjk/f8o/ZjmO8RtFmAsaA6u5
vTrM/kuM5zCV0Uyk00j1UHPr7i9iPJUBEAgsBjb/JeD7z2RiXf1NZTSkqqaKju+ngu9vjHJWEsEv
Cm4mv+pP3A/BvhAP4Ir8fpCTpp0+GVEeBSNlsoWESVY04SzftVb3s8nc/fJe3fzjB/9KiDT+4M7i
9TMu0iCur+4sNIV/+PviQmGLYbVRgP6aUo7hPf6VfHpuXQLO7yg+Nng/NjX/LBG4u7aFnIbl/zmp
og0xNrRLz54RMoEmHZSuOHmAJHlxnPlDGC853/4iKVAwgx9kL1DFyMH1/X//Clbp5O/esZ+vAC+H
azBsY9LAp/nr6ItKv/Kwe0dIcOegy+TBGujZMnQH6fWkjPfp/YgkQkN4u9igvvDP2A3WD9pUqJO+
Ch/eAqlh8yuyDsr65yiudxZaXLqTlFT4yO7/jUwfE+Off2VXN1wMxTYf8p98wAVAJHCMcUQsfS92
emoeBgriM26jN8XZe0NbX0+CQURHpbFpPDRHuQZcB9R0w6jodaoiYCj2ckyqsth2C4kJaUazi77j
DatbcnHt5mjUO06j/CRdyAiaMo602pCeHaAEqAQgyKgboxzf9AgtcuZDSAmGymRVO25WQZfd7mLM
FUT2AVCDONS9AYfddEjgxniE5YSAvVp8+0Vz+DHzhjLjokoFjGUa1mi9Im8IlY9V8AZNajNjJXm3
7NynJefiBsXGzVh9xy0JXysgXzF9E2ZzMQzbYyfveOD8sefuZBPAQreZPiSF6UiKACOgSzJMO2BA
m8Wwth4EkwrxPcB7Bmwx+HGtzq8yeBDmaBzrGfCzuQeouVPj9qhYzjkW9qHQ5b3WDtf15BwG4Jm1
xY6ZiJZ8qHYQViKDM355Uw1WV9I9rL9UmZg7VVhbk1/YteagcAizEZ1PON/Gi/LzHGWBPrI9zOFw
GA74BWPfsvvLZwDfPeKZPG3w1V5MUoCK1bdpUF+vv23lREHEXz2oMcNR/r18Xr8raL1ogCF+8fLw
IW7wprpuwZa9Qr+PWZO4scn0U9q4lnX40F151hL0DPLc9qNXMEVgzXEEgWCztWXsNS68nzW5fAux
PQWNFrEMdP0yQmw/EE8wB+ni+J7GX6QY+4aEyrLmy8rQAzIofiGSlwgvwY0t+Jw3rRV6VkddcK3J
j8k9uvE1Gr5DuSA3TdztyMuz6BHxIwQ1opvWu1VG5rPwepXknnTUvdJczTVfyLQ+9D0ltukP5H+a
5odHSJ8whwtSIBzpn9LmkajHrWkiJiwY1Opi41IqrK8KXMG2cB3Ul9O2qYu3dqFZyUfz0yyVJ1dx
XPro6K2oq509zQpJ2xgoHeAXxVyKi6XJ25FLf6dlFu90zNcHNBNIj77KQ5P4obBY8vYwaxVz036w
DpaIoIoNjIKU4Ucx1KlggOHuLFEeLKXIDiXwEd5aXhRL1JqstZJdptbLrWJq1qPB/2cLZYS8RkLZ
9SUEwINex7yXqRSPdRuyAB8o1siTmGuEU7FFAOQ48O1LPPhZrYjephk0iB0pl6x1Pk2BRsGIimbn
JAXcktrOt57oLFSEvoGKbsvqzr3yKJcxpdTtAeovuQKK/aCnHM1uNrNwtFvHT/FmAUty0+NsqdYR
uycWvog9tz25t46Vnf+DvTNZctxKs/S71B5huLgYF7UhCc500udw38A8JszDxQw8fX8ISZmScqhW
Wy/aqstMRqUr0ukeJHjxD+d8p6OqfTaL5mLJpvBVxEfVGwgsKa32rffcQ6A34bmrXtkHxmfZyWs/
sC+rJKlUEM/IfBX9RTOLkFlN9f7XC6L/jqsqDJjy31oN7qhxso+C+vH7zwLq8O0//4Mq6dfv+3VX
ZX2CGQirD7/hQlRYlkW/mg3kssViRwTS/M/1jc1CyiIJ11tAbyAe+abfChzrk6AqobGgbLIcftZf
2VX9/Av9/oaN4dK0uVfja4YnjqDzT/b+lCFmKZs5PDi9khcQKvaExSCMM+1VMh7Z2AY5gdUgg9eC
YdSsLLEjLRL8YZiYPiqswNfRNcN21FdiIMkw0xDAF7H3XbgpAj/deGh0SoAscb9KC0VeFzrlWiAi
TNNsX8ok/xrYGa4onhJ1T35QuXEcSgwOKhgMf0osdvU4bFcKg5gf53Z7sJzgDbmeh7CKu6Bbqo9Z
r8Wu8YiZ4XQaohxCPQEPBW3EQS08ZelsCsubTlSbK8ttTlmmbZnlPTsJAH40SNH8qA8ZpsbE2YN4
RGUlsOwOg9hTM6zrGo9mWBdH18c5Qrs+N7mvxR1xvzMepEqHw5aFxHbIABJL6gSxb5SEOmKTj7jN
MMTyzQx1cODEzrZI2o9wTuMzC4MOE0eYrRuTu0MYtDn8A9feyw6kpogG7UQKpzjZ06aNZa1hHzAZ
VGC79HSnP7oAtI7Qfpt91RMurdJZ54TS0rs8IamnsaJLtDSb6egwPW2rc1GR6xDmTXxFbGUw5A6/
RQKdZtcOjyIrzI0ejsGJ5f4qZ9i4iQVxvk5wTXPe147dx8NYIHLmvjHHGXrNAblUntOdTdJmq/bD
ruOt1pREn2FL2qS1eqIqOMcMFw5p0a6LqmUAYN9VY3sOeDNTVMaegoNUlWhjNaL6oOkgCqG6WddN
ek9SK1wqZI3tPmigclhVd6QQfzIBnKZdv5ni7hSm56I0UqwFSJ7Y5zOuaN19EfNFNCGcy0j1rFT3
rQgGDr04iE8i6AXev67zIeuRoNdyky5TbumpZ2JVALRGfQDzRL4gBE7Z3dDFEuCnwFxciykQ3BYc
9MbKfPPsqkMk3KWvmHqJ0euK/IQQLn01U0Ib2vTopdrebnXtiMw/dpU8urJmisDQK7dggFgYMMoJ
yq37PPBWn8y2P9k6a1231vRNSmzJtnTjbxNl65a2vUbgilx8jE+lmRHpYDhHL46v7VQPftOcWtcm
PyIKqk2dxz8SGz2bBV4BGsgP1L7d3sHdv0vCwqa0yMSm0dOPomYr3DrpuGrEW4o55NBPBTKmvt2Y
HePCVLXXsnkP8wyM6BKg0dmR6ZeWfY6sl6nqtYchJ2yMEDm1n8vughlxybIuxLMKO/xyFXPPsm5O
FcNbPby3szD8PBe5WMkuIuVnggYbxf0ReAu/T6uT8oZKPsD2T1IjmyNcsDxJd2lrFudZbX9JyNi7
GCA4V8iO4m2eCsJ63W7n1QU7HpWSPFjD7cC2iRNFqwh8H3bY8IoLPhPtMFUs38QQnRUUizKF7inN
96zQrqP4YQASG9zE+BpYAQSgYufkrEscrJocgm2705FdboeQkdJk6/0OmXZxpmhrDn2JkZrst1NE
jAei+mBbNG24nwM9ZoDCFnBMtS/I5bCbDsm0Nopz7nXaniKJqEGvD65J0d3Yab6R8MWIjoiKlZDO
fW+U8SXHKA3oYBXU+B7A60bsmqPjOE7uunEsbTXG02cTj1cwU+il00XU6mtmzRnyp2ZjNilpwqGW
7KDL7EU778c8fcws1zoQ/ru2k6C8Blnqy7x8SDF97QRjsCQLm5VmFMDdjORlZmSzYq3o+Q6xPr5E
gEAk7kc8hq9DhsuqadpqR/4te818LHedHvvDov3V2crXabu2KDx3MXt8Bqhuw+tlbJHpnM2++NqU
Oo5YS/1oQvR4LSg/YQ3jfcxdCgHxlxTk9TrLLWc3C1hvemFvTHZFWFCiLUz1N3Tl33s7pkQtaTnU
klTZzX4NIwtLKw0NvBCxUjJ3DiKPNm0JV7xDBMG/3ZQbmdQsZBMJeY1hMuyzSXxxTf3mWR2xqLEO
37sY79NR/15mC0g9B8OPJ8vLFqv0wSP+45BNI4yKPK15/w+e0Q0YT27T6KbPoze9z9UgrjSa360i
QiWMlONrVCmbS1jqZz0aoXIQ+rlnUXfwatd4nAiMuJT4Wm2pwcEzE/0DMAGJhZ3u3CcIltdO2qT7
0LsiozOuML+vxHZ5uwYM9fHnw2ylIcc2K8C0Z2ugRKauSKawseKX3Tj1wJfLQ5c5r2mSTtdGwpcz
7EJ/7GWZb3PHSPF2qwMXoDj0Gm4aN5q1D4aKOHgLtKBMFvPOJPfMSdx1b8yPI7ts/PIAhmORh0wr
a21xC0f3cWaNfumqt3mWpJmNU4qtqYjYmuA8vOQxhYGXMhMeLZQIbZIXM7e93Lpg3TX3JVFxKJq3
daq0b1qGojcnFvJR07Rpa6FtOFEJq4sckDwYSkxHKCl1zjnFGz8EeItM2X+x8OJiQtt5Kmwfiymt
NgaYh4emJ4bQxGN2DPAQnBqKiit2QWxo9J0soR06GdxyNfkSgm7HUl17F7Wy3kxyoA2My+xUe0C3
LHes35mwP8hy6B7TlCM0Z7T5897CZi05hTEPhgtYDZdUWhjjA7J4+5Tn7H5CQXcL2yM5Yv/xK5jd
pfmhFSUUoSnN2FuhkATbgyq3aa95SQSmstiPyiVrwjPq6mKZcEi4VRb34ZT5kMrHH97OzBHN6Et8
fNABLgpwOyHZ2aVEDK1STVO7RuVv0Fxx1YnkQMTvYUSBvck8CWADk+CDk7FooNBK4sp8KnWWj5E7
cBIIlOvoZzo+nl6e75uAzWoOhBToWDHdV2VzaQYVvXIRX0xthmUUxfKS2XLczhpve4DyY9VlrXNS
MUiCvKg07lQgd/NItTh/CMHGV4+ic65pgmoUjTOflxRZ4qlO7XRHOsv9RFl8Ch1a+8oBIkZQ2nzf
2KQkyl6iQYU7uLVqggfnHGF3UUtrlZJ0T08fbbnBRHACadhzbbxBsGKdZThqJ0HFxmYj77zAUHdO
24OEUPVACEGgP5aNzek/M+mbbPaKnZPOT2Mrwk2bBN4Dk3xG73x6CB5xNnrXwKIqyvBsG5tctRjl
PNaHBnqQ9aCCk+7yDHoDnrb17L2RBsO6iHq1LopXe5bKDwL2xzcI69Uli4a7YgZBA7lmLTMG3LoK
IffVXzK7OupOl6+wMGKgDVBNQwCG9lURPzUW+PIkpZynoci3B0Vg43hByz+vkzAmz64pIP60znOg
q+GOfNG510dW0eVOjh4Q70539+GA8kEPv0wWekwse4e0d1kdDR9uLYdV1FL7hU36qGtil4vyLm8/
uj59w17BoZvdd7m0t3UUUsZG7k3aziPe0fnYIh2iNnQIqY0y3xmLb4li9DTnQbuRo3mPlidfoZ8i
w3IQW70GMtM53iPFzGsZyycF/dcsouNs4SVqk2mvhwgnwolhKNQTV7LAiVj4EtGd383MCVjdRQek
qogrEMhEhkkIn95FzK/SU2bXfH83oBJ3dVRVLdvUCmr4Hn7j1zRMMqZ9WraL68E6dyO3zwl9ne+W
duOPRu88DHX/DUlJHOnlj57DUIwjb8EE/RLxfXCx/k8aaTSh/PNnLecfBJ//TXvtBXr17zYL+Ufx
c7NAhuc/NtzLN/+6UFjWBgZtuGPC5sRBz7z3l4bb0T8BffzdroGu+jdxqP6JP8H6z8TaWGJweLrf
Gm52DbakP2buAiaSZvyvNNze0k//YaXg0iSiTeUfE1vgn7WhlEEK/60wfZHEPzrU3g7q8MomAiGo
2GEnws8mh+BuLXiKQ+O+mu03pw53hLFGQ4eFQAuxM8wEq9q7Kra2QtN8jsCkPrKYXI/0J2HQX6JB
f1GG3AHb2KJWoGOv9/hI6UpoRavTcpoQSmMPGgn24cZjYbsMRU3FCWBLdC7WnWXL3aDMexONpLkQ
YMIvIwv5qcJxlqlHV6seZ8SbgY0UMCpBDAHUar/M2eMUQobBa0K7h/RhuDgYMrswx1Ng3hXm+FKB
ZK3a4mZbul9N0y7LEebXLWrx4GmeMmx7gfmEimBfD8k1J0eI02XxHlk1pfXQs7vM7tvQAbnXMP2y
+vcltUp3YZmbvGyhbu5kYB8U2HmMkl819qWqys9mkvm/u/r+ya5GcEX84xvp6JCrWF5x5XAx/X7T
MXHnbSJdM/1MqQ3NFZyZ/MyJekWlcQU1Q+w51FfCV/1lldHz7vz7X8D8Z8spHXC3bVF4gon4E14o
Vp5begalMHasuWLq53b1dtQXqTDuDz+NyPELUps8DfyTan7pi1ieWadpB0gBwAdW3yfUHduZBQyR
zzLeMnbN/aCczyMr9U6lKdqUUDvobYpkpmHkY2X5ZlfgeCUCh5LDHeAFS6rXEZNEWQbWPvDkiSRP
MFROoPtdY3ydhgBiwDjf0yPscJAvuEjxSg16Cpzx4ibdiXRTdSxVFf4Cbv9LkJT/fw9Tyan3rw/T
y/cwYnI5ffzjQbp846+TS+OTYzF8tC0mQhIx+98OUtf7xLoMJqjwOFB/+ZPfDlL7EytTTksig2yA
qB4Lwt8OUuuTTiYDHHG2U55YIIZ/ZTX7E07/u5OUySWKfQhu2L3x8Dnmn1aNXRC1rpU7NhhJ76nO
4sRvzF5sg6JsEf9p1sFIkUxTm/2o+i49oQYJbwwm9rWtbbWgbq9Gr+cHGJ4zvW0JqKjTrG1IzBWM
RNTPUpMk6aSxe5l7+U4DZ9DRYt809XMMy+uMTumpmzOLMOJUQ0maJndxn1RbXspxPcbDm1bX7Cyy
0DlqiWWv3cqAy1K27VElCfq1ud/kbfsEVS98MPXYuiI8BJUNCmzy5pcizLLt8pk6dtZYX4ea4INA
6n6tRcYTeMFizfoYyeJc2K8EjK6Lrm1hScQVJnb16OkGW42mmVi7WoSuR+ROg9PWKKA+OiHHq6kL
6ybc0L6FBQXvbEcvWc68JgbouWsJ8rzoM0aao+wc61CmKvT1HMMNPCfCO1JDv4M7W+9I9QOyu3yp
Gq/eRR6noGZN8WOL18gORzQiUd89JCUyq3zYAAQwD1j8vJsZya8xMa9ZaX7F+1zh6C2bmx1PO0FF
v9HNOL+57GXxzbqrPhv1H2aJ6bkzoaPo6dkAVJ5r7l3i6clBdeSfzBIhTWV/sYL521RfZmRDqxwV
XuGlr1oE/8F0x89JQWpxYRgHJ9K/Qqu4Tg5TuYlOQFV1eGgSj2HKaOyR4aM1KtyHYR6R2aWvXvsQ
ACVJcCk6PZkck6Hts5bufEKFCKQCRTmI2ZiVZPOC4iW5hkTTTllxtHIibOckRqs6Rs9YwyLU08q9
s1oaq7CBdWra6yJNEt/oGyLRbW6lQYI0S4bQddCSW2jNs2lj6rj1dC6lbdA8fK4TprppNL9S/DCO
dodj56Axs6KuRWM6/nCwPg9Yw5XCc8iM8FUrGOlrNtCL0ngmo0wp9ytnP4BpYmi3zpSBJ/bEM6SE
4hDI1N4oyegSD8C5ZQawiVk7HXJ2pKFNOIc2g/EBbTZ4dXakC8MjARW6rPGZsSFP0agzxEW+u+nF
eNJZ59W9ddfUXG4JIJIkhRMxfBgGCzlcaGvNUc0682J5gKbKTYlc3pvKSh5k417SpNy2DINuIxPc
PH8gkIBI5lbsDSIBjubfHv7+ZSNUeojhwzGtqch9zcpqhR4QjZyScIJFqD8Yg3hpo67xiaFg1P9j
jjTzTWWhvjeBu/g6KsK2t+77Hne1jFzJrCDRtnGjG8ThZPmh7oKzBE12H7ryQ8RD+J0P9TaLpf7u
YTRY4Wwc1nMza6toRCI4l7ZHi87cqc5s/ZnZOP4/p33Pg0HeQehJGMJr49OAyh+BlNN8jHp+HvP2
FpVB/tggWthoFcEKURVld8JkYY+rMkmB8DiZRxMqPfhjY9YzlM8XhXb9jgjVgQVifqXLra9dM61Z
lDQPSUbggkXhfJQzgYmj1U5Ya937qPfUIwKHrwkyzj0rpx82pgQykqRCMawtMviMBLbB7bcGpMKq
E8ahr2R/DLtJHfPPolmy+tqst46DZzj+WCXflRisU1lUXH5kBf/8ygos62SXE1yRPLB9iKPq3HVZ
fU7yna2kcavEJPCxBt4T++C3rvf8EHLgq0xJBLBFMeGSAEo16ta3kiEwixcGf2Okhn2JM+U4dop+
XzNr8/jz678//PxvQ8IMYCqdcI92z7k1y0gAdCar8ZBRiNY44VMXmTMHke5sYpehiNepu7mweGgg
1phJCI+W0O+LgpKUpEbjy8z7aijA2F2B0C4eObIcYPWhMJ4Ce1g7pZPt0mJsfH0CMarNDL3MYupO
kwXJQ8QIzyHzrS0ZdneAk8GXKGpuNXAJelBntqIDClqr/k0gSZZTXn0o5k7+6CTRMTKC8anz7Fsw
mfrB7JFEBHV5VoiG6ffb/JCP+be+rXdydrOTXhjDYQTcWhTTeK5DbTg7L3lZ3zdRj+DO677DDnCI
eCLWPnAdDQe8hdcKcvZr36cftUastuhw6oDIE5oV0kN0UL74bPn5m+HExnPAiuoY0WyEmfM4tUO+
ZXj5zDiciRoT3jxljC8Zp8LTpi2gvFy7ZSUPgZPvtFrfGGUuDsrAWQPFCbRLATHBckXmC10nDKJA
iGCa28nsCHtGVUATsjYUN92Csfs6S0vSgwLsKGN5nnoxbVNsdJz+Ad70TgcSOWJSmd0n9L7KL0KH
EtR2cRfYWg+BAL14pJFp3XCH38GzYDeVIOmPcgCiHpsQzMU54/35s+Y46urMg3iIAQSqFmhRw6nu
a0vNnV512y5+eZgGVClz4zzmBWbnyh4vTTmMF7zltj/VDvuumHc0siO5RXGmMSxvxLbviFCWOBem
VrW3YKFk6TLeFMGEyx6JLBnouHLcciSVFHh9rznBHW8a3BZtQhuAYJSgAMaDHNfTpH70rdpkAEI3
OjSKrV32cJltVKRzk3zWwmpiT8fdj6lxH0fx1msV2euz6fe1ex1K1CSyJXwgO7mZITfaZC2lVfWR
dNZTykBx5c2lYMDSvLcF07FxrLHSsRDrreJG/F3lK0gCK3OYCAIm3reYJuZNV6fRX6KStK06YTzD
Qrq4EwbalFSimqq8BrMNc5cw9mz2bBrioYbA2dGuy52Qzi1hUb2LEg6TJAjABKcDgtbMDo9eNO6F
Ulumw2diKO+9ABdzzKtZxzoKmQ70k5hCX9O5U45uslNWnhAOtJUpG1qhzX7hBeZ66urmEtC0XaaA
4Voci124RGbEFoZLE03YtnUmcZn67EPzvGY7oEejXcIjVVXBpWoyf65nG6POBPghy7+b+vyRd8Jm
iSibNVlR9qpRTrOdAw0bRdqKw0TK3MlM4ONzr1xbxazfNHeRx1YjO+weQbbucuHXITfoAjdXClw+
EUBP2Uzn+WSAiLPyU9+Urw1uuP00Mw0vIw0YCkShrnDvJiuat6qtNlnEfBYJP2VgHG1xNF1IzEKL
Ywg/suZ3RoIDOsMU8VE9sgBh2u1WPWNMMZy7ecGSiui+JfZgLdJTbTjdIe9GtE9t5TtRJpjGR4fR
xXiqkC4nEc+aDRMir0UDVKn4kEVetRlzMhTcJHyRmLKMsaBkadW1jNoJ073zWiNKv8fDqHn1izE0
d/YEc1zGA5gxDSsCsa7Yjuz4xMcP/pbh+YMKD2UUaUcts+CJVgrMxkylkkzhwWowQY4amO15Dr0L
YeP72HTbvRsOrFVLwCJzHTyzrQYpRUzhXouctZJMac2m2qVJ3KzzxvU4tX1GpsN6kQ6pPiyPFvC+
NUjwjIAb83ukpd1B7+bkpuap4ryDAu692Vl/HbJe27rG+F4JmHzWbdKnfZLOlS/c/qXCgcJmsH+k
xB18YdBWU14gV0dO1ogIZ2kj3i0L5I0+yWwtYHLtI5fin80V9XZPPEjBFhviIZaCANsmLHzMiviR
nGsT1fvIZp9dzXm274p5l1ax7cO0X9l1tuoG2oGq/NyTM3PMGni1Rv2mIrj95bIg0DLzrObspWYw
49a8MZQ4L5HJZEkk+FqS6TE27M8lcTAb1fBW/+w//6dbf5qq7//5Hx/f8qVQbjDCfm1/33QT/ULn
iD6IPpv/YaBI/HeN+/nj20ca/ZdP8Osk1PtERJEuUUeS6m0wJ/rbJNT6JA2LGaRN50x8tqC1/7WB
l9YnhpKerSO6RoJsyb9PQuViu3dckzNLemiGmEj9hQZ+GU/9vX3HfbTovbHw/0njnNlCLeqmbC+c
g25sHXvA26itmJb+F8reP0qRf/sBREH+cTAnOtC7SciUv0IiBF6wb84D+aW/e9n/yfjvXz35n4YO
galiRyU8OdxE7ty0ULAbccP8F09PtMM/fXnQjf3xtzczBAoCFOo+G5x8yy0EXUxcZPJqFY3kkBU2
ktC5qYYbjguMseWszjMqh0NJ/dSteqw4d0M1L7pW6iQEmYWLjEVECafYlBrABF3FbSBqRxxzhjvd
9TCL12PAhG/fyhB6qhWM1wABwzdC0Vm8ixbj0aDbbU24guUBsAH0ijqmG4J35XQQXYOMpZzX1zNR
OrXdzPtkKvLXSrgB+gLLgRg/2GGzDZM6uu+QJ36HGk3aWe3OMLudwnukPoyfdAiGAopQMJHe01c6
bQBndPoYooA2kUhjmO5FuCy1Y7fyVs40W1e3dJqjUwZgHD1Vy2Sr5j79khct6AIRSaJhmyRMTknl
2WeInDoj7yI7ChIf+lVaRTaWuix7EG4M6BsLXioeWiNtLD8UUiO4TeQkoYyiREIWCk2lO/bQNBlN
ONaBP6XOlJy5M1g/qsGLqYpYJcNmHUOj2Bm5Gkq/Nptp9IkbpT6bhFXXawUjzd2kTg+gBnokMhrD
XP5iFdrqjQeKrD4PlTNk13pw3PQOSNS88zQBXI1YvOLOMmLu7qmLxZ6cod4ML3E9N94GrZP7IfsG
EcEwdrazD0tNPpiaMe1KXrRnT3R2sS3C3Hwas7B6G4QLPg2Rk+ajsSLWzwB0+ii6vj7D7OaKdopy
DBhdED1tbcZKM6FrY4yO5BknYoeD3Mrs8QVacGudNMNWRMHD9SSzoq/ELm417ZgwIYaxEpEfiMMe
L9vKEJHq9pnop37r4Phk9yqGfN9TK31mGiFmPk8SUnoy2dAeAb4j8YUw0LqbLlA5JGItpVIRRk/G
c6tGRMS91xgVvHsjUDutl31+GW0ru+IyK8H+BJHzORYeSRYEJisJmLfBLJbGxftgMryDmAmDfyuD
xvZ8Et0a6kbXhR8zzv1U7QuvgHvE35iZ1oyW6b4jFWRTO3Vx5temn2l1Ao5kSYkMaRPfYpQHBotY
uwk+vEEZD9iUy8jvRORpoAY8SJUjvQBIwtBMfc+Ne0gNM/b41dyrcstxWWSbQKVeiKVaLz+kpyrj
lvRh5qdGNEEDXnJfA4BstD3lwNa/qhfaR13jVc6XpL2RAMUiQ0m+mVAUsyIFfKqRyTxZCNjDtkb+
NM+09DDU+TVELauXAABk7deuGu/KLDYe0pm8grUTiwWLlo3jDfDhcFUFn3Amk2n1gVtT33R2F6Bw
q71tVoS4EIPIg/hW0k2vNbc1XzDQ8/+3gjy6NRZBQtgWc4b9LLy0p17rdZq7SOJLoDhHfdRKng38
XP11yjysibMpwodJHwCjSCP2CEGQOXmkrfsNXqc662BDwSDW5Uc+J91ZTweN7VAqp1eg9xnpGa15
NDEGfa6qMd1iI+52tZAQYym4Z4il9cSWHJg75r8w3owMUh7sRUMTlOF0qaVhUNr2ZbwrM9O6c/SZ
JrTyFt52liBILETnh4Rn70fb9XZ4sDO/7FrWxU1av/MuBx/0GERKRGhXtl6nD89hUzr34SyaEeYI
y7ssM51mBe3jNkWteCP+dr4Fos19FAzLeeW6NWk2jnuw0fGdRiSAx3FaiMGjE1s7XHvGKzw0kAWh
TTAWBL/OO2RKM68s3zXeu2HClyh6QmHclAGJ1cOjjLUGwzPNWEMi01ytrCG3fGMOCdV2hYn+BqlV
RmIWul8JwCMe5uTVbtPue0kIF36J0r7ZcAEfp15K9B3W9FQ2+D8Hu+RjFCZ2/6S0CidKTDrMwSDf
ET6NiIM3cBfAaypVvbvwtfD3MdSJGfHo+R0ZKhGC2ci+9WxL4ZzwyYtX0tbTi6XJbk+rIu+Y7wF/
CookAf+lwsVInGsbUL7OIcjDiazkLmkfZViEL1GiDVePM/yrrU/trcVK/AMyH3oiLwlwJyJvpGPL
FlDOYIpXRnQaOQ26DizCqszuYOaEk8jQqe4tO2kPHHIRvpkw2KcefM4sdcVGzuZ80paNHwkxELdQ
XVkXN/fGu7nklVnV8BMxZRSGd4vBUz8G0ESfGDTSRk5dZSxhYoO9VeAj15E0xktZagKyHLgYa807
mDbAuPrkVprGD8epQSA7yLK53Vlq3k/mMvLtzNrvCQ8pHrLRHF7sSCGOgSzGoCkWhfWemuP0y5bx
/0Jd/v8mXsowHJOV+79efa0jBPsx3sQ/VNG/qPaX7/y1dLY/EacBmdzBZMiCa+FI/SoisD+BlTJ0
naBY4sAW9NRvlTMaAk9Qb6Lmp0B2fyfal/on23XYltnYjIWtE/P4Fypn+cfSmWUvwiBU3rgTlx2Y
aSyr6d/xpbrIdnI9T9iW2JBt+9SCeh2qilVC6KAijXRUnra3H/RUHPG+axdddzlNM2e4tZr+pc7h
g/cA+04RAxNk4HdGNXR3wzIpNjQiX1uu3E3ZpGTCizi6txydLX9DQWP3ePCq4nFExLNT46i2YIa9
3Wj1W/hVkEzUWMK0b14QVDyzSoK/kwrb/59W8X/Lf4tiZHEC/tsGcR1FH20bN/9wgf/9m3+5wl3y
LBaXrIUehcsJZNlvV7irfzIszLW2A6OMPeDyJ79td81PQkdbw9Xn6ZYDYe1v213hfGIFy6fFJika
/6oj/8oljtPmjw0QvaFrOVzanuEaS+ren+NZiQbuiUfqxy0eWLZwFnG2YVfU5KkgEGdX+llNKPIm
xleH6CbqycKlWXTbyOlDStL6gTi3ZJ1FInmG73hfR4O8TEYkb6Y2sp2pqzt0YUck20w8iSk8j/Aa
KkPIY2JUwTYdfsCRQ1VpzYKnhF8oquJLps9IFk13BeHKAJvs+lJpzTkdJNBVc9wGVvISWZjq7I9g
RlcedgjW6xuAwzsVd1gHSLkJCguR9A9mqhF8M/e5DkAIIGapSSJArxmDyA+6Bf4680bnU7iNEKKX
Nh6wPmDEBkUyCOQbUC4gA+/dSOJAZr6aWZjtCPGJNkVxYRIqEYWD6tAXqm2JyL+QQBup8dkQ92dX
tC+Ry50xnpH/pwdjiuaVxVjpxPrGN1gw6Z5iVF/VT5Ayv48J/oplVWdE7bNohmzfZDuyGoNdPFTP
ToWNtclo52IQPkY/klsAVSJOWrhZDZMn3Uk/soR0hGhE9GTkxsk61wFuwsaeYGNJ3P+4a8FSlT8S
5Iw7wjGzIvrOnNHwezmTshgiMxx6Xkmr0x7dRj0FxF2f2Civ02kqz3pgI5n0q9i8lpKk0dKeCDgB
BwFdf6XXnE41TsKQym6VVxUZhKWzC6XDzNUzn8sWqkNnYi2CmQMWXHlrHOcAQOiZ0ZchUC4MZ4Uo
att52c7J6MCZgMN3DkKd+7n3XtcVFt30Q4cqx6SBkS3u7N08axt4+V5i3GSDMsgEeVS0wD71bgRd
SXcapvHnzkxSsu0ZHjgRBkM0FSC5ewqFWu8TH0Q/qN3c/hzF5TJE1Y8j6eesXrOLOYKbHhXhbw1p
tiUyUHbWVesbkXPuSWj4wufjSZISaUm9flZ0uhs20eWDEzq3FPTGsYYOaud+IinNGl7xCKT3mlFV
8NGE9ypWdIldeABGbOtG8gVHwlq3SoUF96MPA/OhDrN4LRP5s3hPT7CFv6gA4aoWyekQBPO4zsxW
w4nR5hvij4KtclEIOVIbfDcMh1M2xfeNiXWBXyi6b2bMtlVBzLAMwnmfz2l11KYF2+aM0VL9wR8j
TCnyeKl7o3ghhAOTFRFzXuKHOmNotydpNNlnRfYVp5SxZX8fooh1e6BtsJjC+kdXD3cU7GePV2hV
W0QKBjjhKVdh4eiDX9jdvoS6HE5gMlo6iHVlqAXLu7fFdXQZ9ohwx6WPyhgcjpY3T2quAFHYw94p
gWBkMaN8LtCWQQI/w37L0jp+CJxiVUdwyyJwOrtMLR7vIIcCh9z1ODXlTZ/4+bYzY3GOq8991HVr
to6fKSspVds5e7eMoVsFpr5Lwc3zE/TxihT50Ss+5/aw6mSUPMkErgZZ9OAwHMCHhsHqK2zPDQeD
A6MbgXy9w1T0UUptUdBvhwnOhpOHELa9/JzjWptTeSVIVMO6jv7hfzF3HruRM2GWfSI26M02HdPL
m9KGkEoSvYlgMGievk/+05g2QAPdmM1sBFQBpZIymRGfufdcZQRxB85+ZcBbqZIkW8/pjMKrla8L
brnGP+QggScKBDZVQRYbKaJbPb4KH2C8lSN991mTGa6ZnumB5hWpDt2+S+KqT7zLGI2PiLXrXc87
FwXDXTIeHX66eIq8v1FWpHeDgSaCCeRXIIGwFKN5ytxp2Ts+NAPRL5ssBEmTWiy62yp9pAuxT+E0
PBVQbwLgRV0gjmUQ1Neui0gsKXAYTG6JbH5JqOnleHYql/j0/hCat9weiCwda1GV+acAqUVFlAJY
hLZBSvz9j1EpC5p6FUJCXqewm9rEPhc3mT2hhwGK97iCI7srSI8gFYYk+1zSr8/QcnwRIkNajl1U
/Q0H+7Fpug+p9Tc5mhdx6bzy75AqsI19ReRk9m46x3ZxnKsVktaJrAJXTaEwV6Ikwa7Wdexjxguk
wuqktMVvXihzPVgLFL2Bt4HZb7iu4NQ182IfkjR57TVWvcGa+fCkuma7lx7cND8OPmQy1SffwH1/
QAvQlhQQm0wi3oaWPisrWe0h+sAKFgbQfCyJFJzFvve9eGTDD6SwM7H7VRnLZKt6LS370eHFh5sP
ra/A1dkZ45dbYW8LGp/vOQ8HqEaA1FJIOi1Lu5TOjLzB8CXFILL1ofzIZHh0+o7przW8GpFCKT8g
4rRRNPyf7Iiy2KF0fa5FJY9JOJ0CQ9ARiSjftCKFW6ZNducYjmw377ZNlruXpQB+EKJmhfDjHTqJ
CpxU2ZCN9ncJemjlhmDHu9Z9tbIGv90wpX/cYAMJUzX6qmAcPUr62pUMs+nUVsujNRvpj1dbp3AG
HGgnjtqZhjoyXHGOgwBqMBrjfadybNYA3eIoKvpD5ZDPh8NIx0uwVOsuIizKb72re/tiicS9Orz9
c/Oe9GH2rPphqzU3PS0gp6QtEjKd/PtQEBHRJi2ga40lvWuacGt5TbV32amSrBWd2a6hU9IepCRr
FBvLq/pXDBLWrqDzZdPlu3tfCgYWjvmVzVbzPGU/hNkTeClb/+pNJpDsKnNjKxREDZIEC4MlYRKF
2YbAJPPcBKy/5hGcKQeVcwpwZTLxUDtvqsHHGu498KzotKTOj17cHSE5zZpYWmNvthanE3h1OPiM
4J32MbLyBaHznbDUcBr77nsoouLINbdOcnHfJARwRCmDW/lnNpf6CfcM93V58SV+p0F4+0YD3DSJ
sBFYHVdL1Vy4NNJHM4VnwWu9y1VNUDGbq3vPq/44WfNZiqwiHF0M624YMVHelD0pazfbj4w7ZmLz
OhqWjcVzxSJVDgQLmd+oqa1l2re3y29d4jQILUu+V0iYUgM3gdF61i1B9D23O7xBBjSSIb0NcxmE
CTr6LTu4ZdMiiolBcgSYFwiq4t0xcBypEhlua7GGFmfQB3KDo6dca7KuTlFmfvXNMsRuOLQnFaUc
ZQWATVNOGH8C41o6cP3ZDSPIqtM71z/L3ibayNfwaPPgzAWWHv0UNxbPyRZFHADdxEfaRR6RDr6A
gZ0xuj6w8n1s6mVXpRCywuDVsxsQql8l/MncnffKH/7Uhf9OmYRxIzXHDWu+Satt4P7kpQX4V4hn
x2oIlwz9YJ0P4OsWR3aHHhXmve3OLC5hfzQgCUmAIZM0cmvrPjJsij+dnuuWAWxRT09iodgTY5Jc
wYM9Sl20jyTb9McGRB8Kt8naubXrbti9p88Of0Vi+gu4s48lQOaGTSe7j2zWrKazDwqrfghxKm4b
jKM4vWqgM5qgYjmiia9rZs2RkUfroAnDbaaTJ4hf/j0X+NGJrGs7mvpZp+l1pE4kjsUc7opo0Nu5
nxdKWGTnuQh7wnaG7jpBNoGv7KYYmxvjXrUVvI7ZfI+a6pxkur+QbNBfYIurS2ss35Auo+00GBuW
O+KB1Ft/W01YZqgw2cFwND6mLNdQAYTTa8InAuLvZLGUIH5rHJ4rxKqbQQDlb+dH23euOrI4Hw1i
P5Xuf0Je742NxJwQzRxcRmfDyygkdXuwQb8K7v29niA9LhQMN5jgitn9Odf5BMcweokaaHJ+nX3Y
aYcVflFokMw/DO3HzZzNAJcLN6P69F7tUD8tgOyLxob7kpFbPZnJvZmb11F1L0k0x6wPL9ZE7gXe
ugpu8aZm9HoK5Q2dGSA3ZLEiuJIIGYjq6orp/xNEwoZL6ScolNwOmvioDG1MY5LLs+AjnDHng+G8
2Pn4m3S1wMwwIEqdzmHoqpWkQSqxwB3zxvnbIw1da9uNc8EmyGX0Qa3JAj3EHbH2LZxF4GTWzozW
xejz+9fIg+fTh0UWi4jPsNPrARGCpbfI5v2V10t/k6EW6aNwPgwZg79eukj2/M1gL+HVYOmQ33Ar
mfXC2LLZ2b6+mDkOuNuFmdjtJQpaXkmHYjelnSCD410lSIpSuAeIofiXib3NRf3oqFvid5u836ja
Qeqf87l+Lq3pWAXls+2MT1R+WZyIHMS9jUa5ozCiUiunkYi44UMlDuVBRNQGz/8fyRNh2AaGsjLy
1/SYxSNhzQ8sKFVssUPcjxNZDxTwnCWL9uPKLU1OeaK9wuGMw1rFQ6CevRH29wo2Yrkr8rZk+s7W
MeRwP/pdL+5qecOrGAnYnVQAPSLH7H5uzZFXx+bEEfaIxOFkIv9aA4JFYVYF+tJigghQMxYt9FTJ
lRXXNkrFIfX1Xe1m96JDuzUwzb8fi5qoyf63bib/1KC9ButoHz0jDzeOZXWPKNO7R2lPX61jReuM
8GOyptNb1HXmv3XLcgPbDVcoGs+ox9q7KiruGOjrLU+gPjeojR2BtcvV87hxC3R7dm1NOxJNOLu6
tN0zhR9pAPxLpSdCwojyuWu1d2Ia/+W4angdYtSp1oUhxcy8jFDHRXvP0v8n6PFjDOzXqQdlOdFT
lO38WnggjO1uGy2mXunMfU+SOtyXJkwJC5adPxXvRYolulZRtguW4TK2Up3DNkbGvhyXSV2TtE7i
cNSxKiogLlGz6tKQrJWo0awHKJpdrHwlRtk1xuN+j52mwlhy4+RYUh+SEEVdSRyEZqaz5to0xe1R
P7coEm8ERxjnRBkcbHTeuxCp+IrmMN9wlEzPhlf/yTKHkC4je89vT6aAaGAHFtDKyioPvdnKbWX0
xRFCvLsi1cTfWqS47NhbWivT7IyvIe2OhB37r55nAfcYg+G5kQVWY3veY8KcNziMEG/R4vaAd/cB
/vS1hz71BAsMTRejC3T0rNIzIuTYvlrrqSLbJCLnwriFTKniT4Mtc9taBkkRc3ANU3AkTtgksIuI
extzNV1Y0RLLWATy2kPHCB19KpauPTdqHC8FTG7ypTUCdTR1bT9kW9PTwdoYcQJgBQa37xkXy0vu
a38mVmxpQjzzmWTYP4DRCrLP3Eu9+yZFfQtItXrDRuCCPRrsGDZ1te3n0WczSJ/L9Oyzo4BfuYkq
7h30XAdvIbtU0vPHiQ+Yqx1LewtGKD95nLfK9LB8I35mqU+j4aj0DtFYuXEcigXFfpirQJCw7BcX
qfIjzPwV62bvjx81ccrDkpUVwSuL68Wg8ZH/tQmkxVqKY25W1SHU3udoOt15Impr7Zlhsm3w1B5u
/vbUjV7yzCayKblZ4hU9cTHawxs4CxpAoxEflR4PWEqbg02u0hbYxXc9VgZI5J6HE6RftJU1NFza
Nwuu5seMXHzHRtrf14wy+aDDXx2Jg+yz+q7RyPuBOtzCAS33IEmCp/xkFCIIx4r9udYv47ydO5z4
JSMMuha58hCmcybekRRqrEdiAndpgv4cNby1LSLjwgrbOk/jHB6lm57ZrzHaU/O0z21eSWDmP+FE
X9KqIlihvrxLFQituqYozUewap5DbL3DCuxkI6z1/RJ8MCrV3SJoMjHH435dwvqOWcRjxXyhLqM6
BkCsjknTBRsFTXfTmG6/qSFHUJ1mJuWCo/aplROwPhM+nbkS62lLk4YF+bUuZ0hkOVOBMAPv7hVN
dJaMZtKkMvZJWo2x6/rPGL2I6OYzbd+E4Xp+qgekG8MS5KcsfLD4VD/NPQM+I6KSdGTzMI3VMak6
6+pgP0HTDqPZL8SjNGkrMxbG+z4cP5Q9qZMaRgeT9YwkmMdrICbxFX16GsyfeAxwLoRjrLKA7gwY
CkyNZ+h23hWETAF+VxhnAlhBrnqc02lxtlVXnDsA3CvKEOgifF+vYZCQhOLiWhA6Alc8De60LhEM
P8zurYWzn7TpHnLy1t5ThQigcriq5qW8+m4CEcyi051kGm7buf8xbr9Rp8+9ZT4it/Hjxe/xiuXD
3QwIJ84qFqJ5Q+Wm6xrZaiZJSQAlAykgiJE1qPswCvfB6GQHrwZqTk00H9wwo0CWwEqHmjgCLw/k
OS/G+8Kwi1WQCHQ10fg0Jq29Q42waXqxaxKAABQtLjNRQm9KXq8xrZ/Sovgk+Ls8p8n0ZZvuUbXB
SQ7TafGKj2E5iCn627JD3Jqt/pk0CWHtNOG/l+rUVFVIGtDOdCmE5Q2jlieQVeYQBVn+vgzGvQsU
AKFBb26cQWF8GIuT24wPc8G1a8sAUQRpU9TXw2NQKoAgCdOLws13rZPn25pjAPHM+vbD58686UaM
mnb/lGYFkKIIPY9hflo00DyS6ZOq67NNZOZ6cYCIAzX7gjT0TbTlsPUZY+VJWcV6PjRK3nkTIUuK
LXaP/aJqG7XPsh67/N+uRwLgpTnApGZHJqSJ+ETdLVl5LspbGmWQbjLtxTIIIOGaYGn8/nvyKXsj
TQB0XqHCwc67I/THZLStZ+4U+RxZrK4j/bVkZn2sPyA03gdFtx9QjhIMIFlC1QxgS4MgT+k8Tagg
bowguk7L/4M8BwCxZeJZksm6HfyWtItwN4XRvfXWpLI+F/B+V2brHIy+GXclkpHBTU7MYNbV8A2z
o4tA7Prpci2N3wGHq/BLgoqJbl07dvoKYekNOLdxgrSz7h1Ab/zXn0tL68Hcj+GWyE4DZgwuUwvq
waKtCyrKq+Mm33lR9fdFR5Js2TF5p8cF2FBzD3CtZA8l4XurmvVwQRdyyuqZfNzeQBgdzPNR3L4U
XXqwKzrkELptTZeqs8I9BWQ4Mdfd2MJrz1n05gk8vhjjTPri7iMp8FfageZ6Du3vCGzNVhKle5KR
jsPeeZg01s+a0mxgtDLmBKSNXajR+MujgDGDdX6RUOKdZB3gtuN6HU/+on6wja6z0X6JzOpz6OYj
7Ipz0vqohF13T5+EdHeeL5k/fySeuGvsuiet+0AJeFVO+LpYxRPZoiSIy+AyDePnLKq4mMJ3BIv3
2QQVc7jvur9lcivSiIWaHSfZjTw8ZWceAl5pMjvV2lrMv8i5cfJYqBwQs1B74SGxRMaUveD8SBmO
ji39pA55OHh4Myv4qjsd0ClW/mYm1HHPuYQJMGDUH3T2lhTh39xo30vNPiVg7/46GAHfjJSoZdr2
cuCUhl/IqJ9v6LbpUzQHzz4MlVB176lVfrCOd3emKl6w595lIFOyzn5YUghXDl36Sbjjl/LCt3ps
3+UyZWvVUImVnC/21pnI6UrlcHY54WFCHHuLjNlm5DhI18yjbqi1VG4K/yVs2C4pb1bbrLPw1RGR
opwG5J/R7JaQcJ8Q+hrQ8c5aDaExXk3JRLBV9KVpdcNmVDbq+TEMD/Moz4zep2cZPZVQylZ26iZX
wuffncqz31jRgWVK+7+tV7s7pArfaUVEg5GXn33XfAL8Lh/+KJLO1oWAYElKq3+VuDRG3/40rbDl
hdsTZ9jgVcFDPJBY22fjEo8ZH5oQtcYK1F1zrASyhWykWDCG7tuCCbSPSlNuLUsU26DKhw08GOJC
UAOBvHBeWjm89VX9gSJGrpsJ27zT/BgdZZrq2QXlJePKwOjkKmV8tp8g9K//+aYOLuj1XGgBDgPI
dRhOd5ktuNVmwuEbhwFmUjp0GYa9VawmAVvl+z5d7DMLz1gatXtyTWkESOxuXUBZbxduZvZJ2L4Z
xrpkRTww2eHlmK8yp83Ug3HOPZlzKdcswpQmYUi8Epm7rathS2wDhjzHuHal9dB4WXqZ5XxmK1Jc
prnd0q5Z8dizY/FafzeDzDmJHkxFkEMpy4LxIQqdawV7PJ4SQoeY4qOcN4oHDykd1KDu6tMpnSLf
uOUnEm/WqHKdTwoaLGaGBtwehHzqEYv3m18Zk1fmA4dMXCL3YCQ5B57L2GXFsmdT+1cBFOqb24YL
NNOFucawjure4viHr4qvTqjRem/BJe8zM3pEdcz6sCJuYeyHF4lH8DgOkx2bqPYYMJsXLt7iKWqd
78rR0WahqcZDOLyOWZm9bsyg6ta1xUKiS2/8fvgxqAhuLZvJue4n4W+UBMzw6ER7jd2zJLJzBJlv
Be38IhV1XZnrkoYHsocj+BVbfOursWYFmjja4qptcY8u6shwCiFWkQIWKJ1dN4snRvnJvb14+GsY
3nfWdEeOcXoEtVRjRSCbNN9mRbZsx1BiIYGsSsdQ6fLB1iMp6CYNmkUy8xpuyu+StsglwMgS0JXf
DeD67lkzvgpnsM4ycuQKoeRv36UzSRc3Jxgxy4qVVex7nDha1ef2PMiu+mN25guhVRiHPPctSOzX
LugJ8JqGjsDLgfZKgMYrWf5vaRW3EF3PgBmXzaS7M7qlYM5ZHheILOXw2GbWcul776X3BeAV5qMJ
8+RL2DWnrnG/JntuwcqN1f1SHss8ce4HwpQYITpHV0fjGm8L64XejaDIYhHwgRxviaAIGeSLG7tR
/OJO+mlq19qSFbI8aR2+WVHw2trFcm8c5wzPwtQPOcCol7ozyeE7hwE1vprdeo97jg8pp/zGU95n
6tCJTF31O+FD5CfVK0x3Y9w66hckPsvIJmxiQEwenEIrWM90gozVxG6MiCEAoLTJm+bRJ7wj9tiO
rGC2ODWTf661OCU7fYWOYK0FqDTUxhbUMzrjlhk9YUE/pa+RxhVfIe4gz8+dTZ8SszTOLeHv3ejs
E5XE5lyTi5SS3dGkOIk02IXS8sR+UDcttMlEvL4VyPa3Epr2dMINvHgkio92xDnusVKSHqmWHm/4
yu6ChPWW/nGjaRvlYb5dRgR9RRQcjODSuC2CyHTEZfOPPPvOMepob+KvelwIgokrNSyn3Ngt1U/F
5/7JKd681AXF3IdHAlTq2G5b1IAJIOGigiI4l/161hM+YIxE81S8SVKqMHgZ3hal7y1nUgAJTuS0
clhN50YqYqCmY1ybDKxmG0RdrWSyr60b425Mt3oJ5NG7jSQhsp8YPrAaU9mjBd9x4wUEWimaZLLq
IqI9uHcsxlCYGNOthGpBW0Y41jKj9U340EZdY8Z+ufwuN21DUtg0uylhK4gaAIbxSsmRgEastAJF
1JtTe0cqub+dJpEABgr+T797S6NmOo+sm0bgb8zrsvGlCvUF77pwnnrLjo4IGyagk/Mpn12qPWXC
7R1E8FJU3nfV9atiyNmAmE9pSnR5vZiXsi4/sDq9Ngu402FAt4DAljQupx92Yu22DZs+55a409gn
NVUvRa+ID2P0jaZgF8ocn+18IwpUwSeJrSgdN8INGA2i10ADjIu6qvWlq4g/mMUXLsVtiSmZsM66
2ShILlBSg51hENFlROQDBm1xDFuJuS2QT97sUTYgOltJK3oPR4qzTNQvt2ef8DG8nO6IaiP8cho2
eUVz0xem81NnOl9RDf3PHvAYZYXeTEo9tFNPxg9JNbFIqr/B3BXbEvu8nSevbliMD2khLn7Lh8Aj
M5UDQFFpMRTszLt/PmYkupr80P0h6+AsuQH1fFRNxQ66ZlymjnuptTnuRwnfFYAeIOdXG3k7Aw/C
jFGJDy4RcWkuTkhjb10P/3sfuDf80rwph1lSYP/WC2O2CaLeanJQEBv5/OZh1eRxGIcNREqO8iWi
WsqrZsvA9JTqBP94+85u3o57nf3MiOO2k6E4NGYWNoUZJ9XsU0yOe7H0ySXU7/nsBbFVew7xIBQc
6Lejc0mKhW0yNs8Q/K1Up5tdOaN5cNLkaKTup2OhxcUgWMDAJZsGiADqe9/KdkbD8exYXbJtGeOf
PC3Li9HDftO60G8BOnmsG2sSw0khloO5E4KWYQbY/A6N/r6/+YDrvIT+Ohj9U09mDr/2F4R2fXEZ
Aty508RlAVh0ROthq+hagZFl4zGlcRU0T+3s9MeoLNxNZecsI3Ww3FHpXjFVolvG5XbqqOijpJ+e
MgNSYthmR7K42ktXF5teFkhokTcJcK4Hpobv/HMuFDVhjYBDth4HhFJDD1zRhb4uAzFcFs4XSBAj
K3wwFXOR0qECnLD9Zbr888Uti2EdhszwZnKy7tjckWannkgxDs8y7FpwaRl77ZEqqZv92OEYcC17
eZgT88Us+3aDJLyJiSdipUOvIercOSH//9Jekh+zUvcPDB5jpV2oHcjgY7Eoxp4DsuSpAuO5uONj
3zAQHdmH9eaVTiCjxuaUh+xXJaV1Bk3/GGX+cvFSSB1UIeRmqolINdP5CQNdXGY+JzfPBylkt0Mk
JQFSeaDc2cdidMovragveUdNCtPf3kT9gJ0S9/GmifTRcqW1bRZgk247iENtUsblE8a6qM5/WiN6
1UxSCRHOcDMKG6QmflIUm+ERE7U6THn0kInWjTtHUdt6Yt6KlrXmaGOgCDRBfx0XvF5s527RxEOR
Yc3fEPutRQBX/zZ4SrAEw00la9EI+l/UCPYmZ1iyCSWGlN6QztalwMG7SfxkW7IEAaMO+TNCmpUX
3YOKbi70uj8WJemRTmESzywxRS4YSXMvvxsLm/J7SBvI/UN+Bx5Z73mz3wqzR1J3+5IT9CSU2+9h
uK19FWhmoVDWeTJRlYhzGQX9vkLFRMwyCoHMvtRAmz6SQyoJ6ssCLyRiFGZ+7VH0OKrdNwnDD5CW
HxSz5b68QSzCmw6moI8IptTn7lmmnWRN63c5JvmkZoUL1OiYpAr/sex4aYP3CilVivrpWeV8TCD7
LWkCEE9c7DJ6QXFSMmUvrAtTzmCPO1VvC9k9VLBJ7qbJc++HunfjnphzWalP5p79pWmwbQ+p+LGR
6LLUIhoZy8my4gzpLoRlTncSqw+zxOLshzimKgxTdPAARf0JA3xKCEHGCHtjRIRPJInfrG2VyLeA
Dzb6xKqOO2XugAYsL+1QAA02yj3ACMR49Xxvw57dC9GypC0VugEBmVNO7rz28+EiB9tlHl49ZjnV
ck/owk7UgPB93OpgXgaaaKZo9ZIyN1ksdtjGcqnmmhlXs4SkiRGrUBHjiVepT46hSOtXF78v2pMO
6iKirMFd05WynIL0F5MkejT7CTWUw7sHwaPbMnasdqYgOAj301bnSl8WJ3s02MwfUuxT5Oot+1y3
j63l18e8xxQkuiqenaGI7br6w+Qci1SYYK7yluYC+zpW1tizkwHqKM2u3nQLPg3MNJLgiWW+NjJ5
ROuoTnLutwL1Fh2meRYYwR0jG56LRfx6DyoBOFJk3n0h/VuPI+WzO4x/m1wfFkZ/t7AFUCz9mkM0
3Q1t92tQlCvbe4MmJ/ZZgekaug6yNuOVd5g+LEO2RMpwXI9oA2ojAQltXUQ4BEeCNDcle+ldnwP3
J83vIFhGzg0+ZJ+k1D3q/ou02owEB+9SzElD0wI9rH90c39Xtt0GO8MVFLd94hUWCE9m1F3wY+AD
hwdVQqQhw1LprzGqmXVyf2L25+Vg6ZkB+XRZQpLUgISrD3uKQxR80lvOJonEW0535pqVNa6lSC1y
BciFiXrkpUbEZZCUw8palksBRWZl003f+SUDIWskZCY/1lbw7s43aEarmm03VL/2Lf7OSJBmGnZ6
Xy5NfvYjqqQc6e2C+wNuJf3KI/GosdPM2b4zUKOT47AagvrVuAW9LPnfZrHakzGvxMg9kC1hT/Bv
ti/GxCIktXieqxv5YWasDw+XonP6jFSBcLIazxVbLE3MsN32MfL429wBQJrAhrvSsFxXxWzEQMBP
OYotPl6EB+PoEK51sIb2NZIuvdK3q3Li2SLnYwIQhFAe0EgeBTse8cx0drWrUYeGuthJj6zEUkze
ekCMmeXTZuAN3iBOoby9obq9kp+K6Vg1S3mSRfQNgZTIQu3+mGNg7NJZv3k5UVWs8UFxJn2+RgIJ
gjbICIUvrF9v8Y7L4plrqyYNxTP9cbsdXF76ueICsQdnOWLhFBbuephuA1I/3s6eoqojP60um/vR
Ji2C1mMQ7T7y0Li5qt0Ao3kRSeGcolp9tW29YWe+C7z2keLMx+Ke1xd2mFTGCz1sV3VbbEDnokjs
S+kxUwZWta9AyK6zSJDUIm4v/IgmzespKdlN4GNz2B4uAWDdDBDFoFApi0KDwpnVxtLBLtX+o5N/
aJ24p2Gkyq9YUZbjQApf4s0U7cSfpBqNbgRNGohTcA9aNvuUbfEZlOhpHOW9DYX8tMpkZwapfS1m
mTwNS4S0K2hfU2YHjV/so0zqU6LMv85NaWmRN/YHGG0oB8Ie0+ZdSrpRjPlov6poH9IDbHwvmvaZ
DlmJO0ptS97gjZVVJ5Lxprj3NCEvCYMUhvjOivmlu3UlOsmRJHliAv2a+bGeH7JegebWnr355482
hsoHR5iMiBKyibFEluuwaTtarvCpj+KMWOlvn9GfbbOz8Bz7EcbNyQhZLbuzegoCxZBYnvJOWCer
ix7Hsm5iX46w+gg33jrgQJiKUtEwQPdEW35CLqZJ2kAM0L+eR3xz9UH/v8QtYtuTN4Vy3wLR2CZd
dbZN3ewRyq/CRMo9PMY3r2uv6UIoYsp8cD10/tGzCFcbFRsXo0m3xNlkDDa4XmrvRS+Ixyz6WaP/
zW+Q56a72I5zGHMLCA4DuyNCaQ77qelehtRADybCk6f4yM7wn7E0o8meISMIMwz3c+kb4KeQGEHp
3I4BiiovNMNdNkAktNG+LlU7PluQZddkqNoQNMhCYj3KGzML44SPRW0Mxiq4JJn9GhRx5BU4eazq
a1aYJA3evqCpbOJM6KfcxT9NdtKFltcBdHKbFs1sTv/3XpX/Ga71/wVV+P+jFevf/CaY7/97L9aR
j2x582P9R6CB9e//8t+cKsG/RKRceiatFDdnaP27U+WWoEK77zr/xYplE7pC8ik5pwh5WSrZ/9em
Ylv/EtEeYNKiYgTo6v+vaK42gUP/yafP8DNyQsfGLMb3c/HK/BcKp1mbBTvpeYlB7+nWYDY3RuLN
iZa7sCAjxDVSZ0NOKbtz1/vFarxPcWn/FDx4t4y3LoTLAv0mYQFujS9tQBVJKtjRylibiUQQqqRc
bsGCiICu8ZprmKUftC8Xaylm1n6fM3PdTT0QZ7G4zvLgqZsgJVB8T7b3jXg2Ldf5nGtVbcOl9mLk
2I+e7/52liD5u0QsLhvvYEa4u02SrObbmU3l261HdzznxvBJli3kOWTZm45hHt8W961bd/bGeA+l
fNdSQM82WoahsJyw0a2VaTA9Csedqoz6QkBEvlIpS5k6yL6tAHNzig6nu+W52c42aRo8Ie3I6B20
/20NW0UhMge7Q3iSRt9ZCp12yo9Gl7+HgrY/lPVRYXTetCp9cUPkiiVLIoQuuYGds2NQlhCLAGSs
frZbDU1l0vkVEdOK4dHEuLJP3quBwbYlJpY0FsxbzTUU2t6Xx8Rp6s7IUpwn7sflskwERYUwWPzW
5PQVhJ46VXGXVZW+ZppQGu6/oGrvwmR0HziebPDnxmGaQvfhn79qBYkNwQJ7Srr+nTPgyOWqtXaO
xzld+269ywwneahq1o75VI1vFXKTVVem2UEL1MCyZasjISW+lCmjtjmIFpadA3nfNiFni4sW3qD8
MlLzGMztneEO3kurd3Xt+c+yj0DemhO9af+ehqJ4mpfaOCJNnch3B4LkSvEZRK+Ogy5R2dQlKKM2
gokhXIeMLZWK1FNfPhQCSdZcN37s5gnsIJkTFzwYKCmyZG9MVy7DHCFxxD7Py1n2ETMLumnDlkrs
ObLDJ/Zu2K/rDTU1GIbZobqQHgIem43lP19clh6sTTtFFB3AAy5HsnXs8s88AcVqJbbxevZfSxz3
7ABNdZqs4ap8+P8ojG6sRP3ZVUG7lwHsTBEUD0kTTK/TXL1ULBYTNc3nvGyW+7Kej1AlDzPDjA81
RJRSk3eHeUSgAuEWI7/WRBJYZOQQjG1suMvGUbbYklXtb4oEbSE9ALTadRMYw8FglzeymwDOEePF
Jg4DCoZOKrnxtbkbC6JgUTaMTsokL7LuqwE5qU4NLrtSQMOYqd6DieoQ0CGQQOXCskPWRL22vLuD
cwq01fCc4Sfw/fNs8LFz/5W781iOG1u39KsoetQ9QAU2PG5E34ib3pJJJ1KaIJJG8MCGN0/fHyix
jljuVJQ0ONGDYqhokEgksM3/r/UtznatVmSkZLW24RYRh6gTNWWP+FCqebyF0RXsVDrGe1dkK/B4
QLE0gy5S06Sf3fASGybtihS6DyLKTZEBTo8QQV9Rv5hnZCzeqW3LarxGksOS7Q732trVCR5HJewy
O1P8UYEZ0qxEQZCm4JtqrZwJEs4vHQO6ctLIW4gO17id060ASkcaJSvDuK5u1IAdm6W5JAelUAv0
nID40IZpZHn7RFolwZZw710iDURZ0b3O3DVUmvUA/epm1MVHNSOyPvaUVTZo9axRSJLOvWbcWWQB
7sOQYqLbAbVPhPFR9hE+iTBeUC0bUF+58dJfg+hUUYyr6ramv0vWEWEbtYOvpJti3AxCdiZIlG2y
1kzScKsUVbmzcu2ghjCUjMh0dzocCq9tlSmWPeBzHDr200GxNihltQ73I36KYSFUsPBOAeU6jIlQ
FCkZloUH7Dqto2jtizy8c7thK5D4670IDknISGp7VbWNadVzrbKlWQOVH1mOrNglsO//VPUl62Mh
3GUtLHXuNHLO1le5SHG4uBHtaQUdtQKS9qL13KWJwYjcEjT1+aFqKbULCSLfS78IaPdKqRBrqT2F
Rbu1ECGUsPm1LN9zFc6yYB5wVOXLiOloNjUlaGQvhoQAmlJaz2XanceSUjJcj9sgpglQKyWtSUTq
3D43vU4yRk2PXqYCpkaUzIMsfjJ07MAMN7dqI294TUeLP8uOKtMQXwSptgl30TCeajIx3P0gSrls
YST6BG3Lor0upNMvBlbm86FEBh5BeqmLxN2NHbEEEx8sj82dVGJ311jKHX1lD+l4sPZL4yR6wNSi
p7CEIe0UaWAeWyY2wwu3TUJQC0miLkV93znqq1ghgWqwnASdsk6BHQcEY1uxC1SgV+zImcuNnD5u
YbOUtIZR7MzsFgBiuqOBdwJOQIEmoC0Vmldd5HWfbez5ZJMPD1HKmnhyy650RLcb1SSdciEZi2+i
2KfQ6NKDipRKHsYKmbDrp+rCNCtlRie03QA5N2cmFMMQxgmKGP9qHKC5d/6+l259KwoIa42G3EbE
1mUTKvY+N7EoZMqAJH6JktXYFg6n7YWmPQ90WKTsFW9jlA5sd8xVUDgvuVQKiIIMU2mK+zQNEKu7
peJuCte4N8Uojg0gNwgegXukTlXpZXFKx/wORR2M+QipueWxHS1h0647+O195gRX7IucWZoLc6n6
MVw+4RyKj61l7dAeTPpMihOp6WKnahzJdkPjTXr5Z4cKLFGaOB0MBkXwB01CLBx9+tCHFGf70a3q
422puLUzU07pKBVEBGLX9NzlOQiOQ1JvhnxUZpVp39axoSENkTBGR5HM7Zlbpptaa9mRurg7atpW
GI511AERCY2uSeNOvYPIlp80MHOgY6ktB2heaqeb63asLoTI2bWF7bymmkh5gRgTzC0IgS+TLgPd
ZiWHlkktbh4jI6OLLYjWAAzcL5RLN6q1udCseGnQhl6zjKkn4fatb7YP1N0fWC2QURejXTXDcKsL
fpvitpw7dB9N+rjYmmZFZiJsioFLDAW9IM+6NXN109uspDRUPPE1XeGriv86taP3YZoX9ZA8StZC
fUkITW4QDhxED0hLwezE2oxy6Y2Q1saqCDSNapQndNYJFxXDysVZAA6lopSGSL2NLQpLRbhWRKsv
oV08ZUpwwxr4kVjvOTYNDzsnYgpEEEOLxQkJLF5DTUbzWLK7C3wtWRHEOswz1o0kvqgEv7kp3pDU
zmKU7fxD5M+KRSHFEdkz0r0I27Mf7IQAkeGj1GFX26i1vikGZaklxYMpiUAtbf1Ig2xXNC2i83Zn
JRf0xFEzyl3mW7SAZPxF4+qrKhtIFRhSFkaoUlj/WZhFEegVGJ6TL21QR6TE+Us9pIAndRd9SvFQ
l+4tRKN7B9Nl0I/rdjwAiKbZ8JFoKMrJRehC92Bv7QWPua0saSOx7NWwjmvUbfxZIHkdG+nFPKdQ
ZqOzalgZTikJvePcSh1lxWj4X6BNLMEzbR0DtZdS8jemx9+oqril2DXzA4hR9QMFtw1elSVFpU9B
h1ZbILg19OgL1YRtnhL52yvOre3rV69vbxLzQAFmIw9EBs159AJ4tJrhol5o5DPMosq79fpaW2ap
tu3QNJDL8iV39DtrsifU4aMDQmgeX9iKddF/LILxc6y5a7wxtyk3FU7WQ1CmAE2R3JkXIWoou1U4
oHZlNtGXsnEgIRYPccpLuhCruIoLf1p1G42N7Sv6QvTxo6FGX8akeVAVZtGq2+hSv8pSQh+imHbE
cM6dFQGOmfto+96t2XwNxQhHHykpApskelQLdhaphoOuMog59G5L1ItBq7zIjFVneulK5RZJ6EOa
+SuviB4bmTw2hn0d8jnW9pZn6hTTT+GPbIs3wDtNuvDR1bUrT07oTijijfNiqxVkixqDdgQ2cWCa
nF7fpQ7vKHRVqtzZEkBPoanMMXi0DlCZcm1I+zH3K573vHjIsvAxGMNFEj5oeXIg2etB9kh8EAPa
rkYLSWW2qk+SzI+iSL7UiYM1tSEzQQkfM9e99TrOPQiugri7Vo38Qltf+AOCP/ZTux4zfxNtMwnx
jBOUPCtYNJucKJpKc2bWxFjucVezLSQ9rrpHHgKBgG7ALHeVGb5EZkpK/LjH5XXFtqBo1UmxVz72
IORmJYCird5hrRHgu3s0W5gtKhjOj1hTiZDN1TkR5SUxy/jIJcYSu2GpU+bNTA/Vz20fHvo4Lvjz
SU+lBk+d7Z7GXt1YfQd0KauWUT8WazcOnwxsBDtH63amGm2cmj5gldyDTG8WWVRZay+1mRLKXhwT
F3JqSA1bpYxehiDRGghYAaISdmAoyJ2OAqMSFJgXCX4ilgzIWi+zZp+nUbyOPfqK5uhsi7YZdqUe
6Fiww3DVRgihgO1gh0sV8qjjZjVERX2Q4Xii54cJI4yLRWD4/SnK7dUwYApT2rbYK7BWZvWYxp/Y
KHdW9USRzbqk9gxQa1DindWXwaqlkwGrIkZ2GS8MthE3DLcPhdHIq1DuIi45T6hL2lg+2JSt0kWt
ZurOYfugND4jtpvw5g1SNjQ1yJa0JV1EzOEnPVLag9RUduEm2ZGirxZZ7BSnrqK0K7vkk9agpbOF
cjJluIaqH5Dlan8cZEhypaiuHD/vDjkLXbWDyebyIe37oG0BzrVbTXW9rTPk8TFIV3bamReAvIhR
boVYKzLSVz2l1rmPc2VJJEKLWqFnf+IWHZFR+kUWinhXOhjz4crKSV+FoCm+5H9QJawprhJPmRaY
ptgVHFGwVLNQa7ytoXGThqrnkoiwbdyOW1qDkNH3H02ztD8afDQujyS1dyvfdEBlL/FbfvQjUS6H
kdqibMJ715lefyoau0332NTlTSyK5prS0FMaeMVBqcocSAgrRCumY293XLV4JCSqcmSxdhrYS3lX
Gkdwa9so6IhkTmIBaroTtBYAWWCY0LehVYeb3PKVjRT5MBcWBvIwD28IG41ndtRFF9hs6Plb1x5a
cCeUEAyV+OTYqbtQzCA9SBJkXeGaS1d6zY6VQ7zOC3CumyKC+F9VCv5MWmvG6FfEkvrDhV42i1iP
1X04fVHSDAtyxJajivJ1WckENaEYFk2ucH8gg7ylBBUtI1GsysaiHQIsXck9SB1xdixhqS1KL65P
vk/mtaqNBw8ux1ioYqU0jrhLWlrWim6d4Ywt0kL2+6FqQB/XEoy3pdRXWBvA6Uk0/mFo0NcY7PnY
sQyRtbvQ/GCOOYsQPhSn8wqrZ68Rw5jgX0uT+k4X1OJ5XYw1vreshtaYj+XgHNw65iMQaryFjP+S
64PzefpHlaI6MhLKMCynbogFovtekImYKHeJ2hmEz0T5eMkC5aj0MAo6L/DXGQbai06lONQH9gMD
IOFiwoGz0iv7tB1JlY3KZFXo7VUzeJTfzOBGoaNwsKv4OfL9SyEXdeyXS4rv0dLxiikJl629R1MX
eLo7y6MgXgAAwRtNerFSD1cKqEJiLPNlXAjy3QdGTgO+zR5sKtIPeakUIOnUEYnu0B61PAtvc0eB
xpSalChMhxaYIva0fmZ9OWBB140c85ybbyxlOOFyLRyA0HlrAztvHBSzUf8xHOW4EiWqKpY647KO
alroRfHJLCN/WZkDaW9xvPIpXs0H4JC0fzCpDQrXnrYl7QqcVwlbm2Nwj71aX0+EytRQsSp2Ml7b
KGGI91s2Y/CJTWm8p+Jy77bGyH4MaW0q6Qo7KHGCvkVOr435QqHdssaSTeUJX1+WpuEG6xdL+4nd
OTYBQ0mnXpoJY+qsHAyqkZBh5o5fJBQUEmczSlRbjQ4VI0daePH6xeqERuW+xP6ROjCiq44AvZam
HSRQ4jsCFIggSo0N4na2HxiM42FvgbjeSDbd8yqMjq5KVKbVFMdCiXIcvzSDIbVS3wqI3bD8C3CI
1gGxwhyTSgsoufzcdwZatgpKfuHMFBJ+me/Aoke36PqexBj6C9SC9FcDuSRZ3kQuL8iJhGe+Savy
zmg7fyFVUPOKmp8q2z5jJBnBK1JRtVt1ESRFug+ZlTZjMj4pSukyKcFjiHgg94bjgSevh48l3rPP
YoDjws3Q7J06b29L9nSuYMLvEG3BwUeE7/JcW3VB3LOo8LsjhVwSzVksOlhMLOqSx6QxWfbE7oOB
mGUVOgOuOlvyqRXPNHzj20SNP2oIZNqqz6/uw1iC+2G+ZceGpgDeNuAWzXrSu5jbLiPjJDRlvOhG
np9WhIzBwrjFJdYuvNbHzybanT3MlYQ+OuiGM7QGY1ObI2HZwXAZVnq7h6gudnacHJvajsgjIPfB
hkN1wqxwJdrSWKdVflskFOjK+7Htyk1H23dd49dj8zt6N1ZBi6lFO74rqpR9CErW2mm1dZbgeDYL
KPNTB2BjQdrJfKofFSIj/CW1f20rN2U9NNTQaS8hlDuGHnyyjDheurSpIH0skIAhdwW9Z7wfVJrx
EQklGlnhFR0a/3ZN8TBdmwPvFrMAJoCFwsU+DdSe4BheFWVoLwbf1CizVAdLAg+iq3sYSkAStrVD
4Xgd1eTmyLAOUQqGx5bip6xxQAQV0WpunJ5t7os5UV0KQBbrYzpIZa2xOQCXkrm0C4i5prxl8vBR
DXcUyz1OTquyfhRVcy/SLL3OI4ReUW89O+jmLmTGrTOVXBAuJ9W5aGKsMsHwJYIQiRN8pmVW+VzX
rF1aSDp9BhMAtku/qUffQidZs1NI9oUVpccOafkqGEDVS9V8zNTcOHD/0yXQLazXzmWeJuMh7yL2
4z7MkaRVvWPOksiksx6kEQHcNPgvCkc54HAR2zIKcWSmiCVVyLkLVcng8Wu2Pc86hQVqm8Qr3fYJ
oJ1o677esEZD5yjczljWfUARox+Kfezk/m76P2il/UFzTBaeZUo2buldtvQcZo2G9zogOYDVhCm2
IQWjhTBItXNH8mxV9u6rjj18N+bdXvNdOFo1Cmh6iI/kNOUUuB1/28StO08DRsuQIZI7KcFm2qCu
og8bpx7aShWaLuqzcdPSGWjsvD0kZlnNamrpB3LDQ4/9vMU24gCD9QsbATJqu2DYjUP4TB06vnDG
JpvycHGs60a0GV0WGl5CcVEK31tgC5NrkDQ3cWuTJqOnD72shqXd4gaXacpOGv7FsU5poxthi7kz
oypAS6ReQi1b9/0oyCt2sbPAKis8015ahvZkDqo4yZR71/KgtdaBfiAUe413QxDYIhHphsGpyQD0
C9cw1nS7kZbSeYVFQezzgFF3ZqhWfoiHpppRlZHrtOhfpJngLOjIlBBEvM5l0wT4VHGQdlTOFjJR
fUSqyDtDWfkbTafUUpMTvszEVEfhJll7JqP5oHXwBWUVbnFbkYXF7sGzKadURJnqdkiAij4IxJIe
2bm4RbpQ25hjGa5th2z7RsdZTR7IzBPGsGpGP5kbIytOi0CCSob5yqTsi9PqovBQ9NdJdh8LcdCI
USGXJZYb19uLUSuXY+YP6x4ppl31y7YLkUTZWPob82h6xb2B1TyibXZqoSLO7DpWL2wkp54nN4Zw
40vZ9wtCJVWKpxQcS6XAVGbSQuiHx9wN3A1s1k2mhv22kCjrUsVC2VhZ+zjsX/q4G69TGgRJOz4T
cGHcGWHwUgTqRhBRcGFmLNrysbu0mZG3cWKsBGEZ+0wnWzVSFLK3eUxsM7E31grJb+KLo55iEp9W
bzGL831JSVCWVrn1a33YdU4n5gXAYETXTnaBCQBruF2CJ2EdRX+D5URcm2wY+5giq3nqdIzUdsSa
oPWweUUGggrT3QoczQDGsLP6NEgqtZqUg7JbJcEVbbMYn2Bwj1w+Qt9BWyF7JeHJZzSL6Zr8ivHG
rJWVhLNaqL7EYJLbc5J9nVMkerw+UQJPiQDCpPK7jSQSak0DFa1o3F9bVcV83t43cHwftCYlw7xu
QBmJ9M4OakwhClTuIhkoiOuPtRz61UBqHG+A+iTiuU0SMR7UOjdZkO4AtusHor6+tEYCks9w/LVl
T/spr2o3Kmvrecega2BGuExD7I+VDOahCuoDucicrkOwtQU2UIQmyRL8rLnsI/LCa1BnnUTfTPf3
SMNk6/fh2RSAH+pGVWevN2wV01my7Ws4nMWi16fRmHss8LdmBlukal135YS0VwcKakOg7NlRmhc+
GYyLIr8eBlDR3XhFo/MjMV6PY2Htq3Wul90ql4eKQiQX4S433MteFfCeKNdbUJgKotexKyAA8miN
SId9FFov03fmFgqfOsxvsLngSJ56YwGpYEP4qNVA8xGqsT8vvuTB0THYsLnTQidujY5huq7Y7Fne
zFASZ1klEEJgvPt5ktAUw51RaAhLkiBie2Ez/EIjbRe4tNINS9CXTDHiWRBJvLxxeeM0XsRee1HU
suYGFhvgV4ilFPdcomZaeShlXzWzAzbZymgsqG7Etjci25Z9oZwGpby1bUPB+O6jX6J9E5B3wrKm
PIhsFxEpvMfYyNKeZvhMariSRphJdJKIDs1CtVxx/7a2tU+y8hLGONorMzuEYjipfZkxGTjiMYvd
CjXjRVPini8CBCo0IRbAx6cZxvTmpRHbO11A8C0jaxNaI8ymsmC40nAqjwmF6IDuo9d+HBKT1noI
9ce1lWGvAEpZD7AFKAEa49EnAG+FSyi86gvJLsywG4ogprpKeWRsKOSf3ExbwBfOH1SvofmyqRS/
+dRY9rEtXQcIEN5K7P6bPNfPgIboZABghmIgZrnu16uxo5fQDXjXCcKCDBvQUjLwyvEe+ssaWdmN
V+U7UcNrATiWH0IdFf1kZqUkgK3V6c4qUP1FO6BYn6yvwLDvNbyw3WSKlZM9tsYnGylfTFyzAl3S
FtBa3DxnNLdrvLURHlsSqbvViOs2nOy3KfaNg3rfsSR0cOeC+5ZLclnmrcC4W04WXnpenwzZdPTu
sfeO+HxZX6/yyfjbThbgFO/2HI74RpHuKfk8BFiFDTzDDt7hfPIQT2biwKLbDtJ0BenKWjiT5biz
MB8P7lOvEDmBPjpa1ImxBho0DyfD8hDEByWrL/PJyozaH3SaOcsnk7M1PlEOW5s9nrqYkVq66B4M
fNGYYi5tYou8Mlmb+KabBgO1hpO6wVEN5mGyqGCyJrsd8Ep4I+WE38OHHU+GbMWPdgMObbfMbiyj
X5SZxOlKIi9dULTEIU4rzN3x6Ox1mi5zB993NRnAwTkQJKd2He7H7qpiiak12MVJGcJCMVnI9cY9
NUK5z/CWB3jMkf/jepxs5zYaxsmGTgjmPpuM6cmEM2TH9dLRC1oWtvWUlmS8BZ9bq92jQdwL6hqK
2z+6k+mdGHk4kOlNxDA4TrZ4As7Y17fs+6eTBwK5gELJuIOb3pps9Vj+KW/itBdkRR3qyXwPh50e
zmTIx9qJXHUy6VuTXd9GA0cHtT4Zk5U/pzOAgAJhMprOdIk9uTrURIGHjW6sqYddspVu9i3VzrVq
aNeucRgRL190RfvSTSgBa4IKmBNeAFQRJC3a8gpVCKQXmv7QQCOgSyZuwurWURv/ysPaoOlVcWP0
iB38sThCEdAuJ1hm7PtrpC0t9y30A3vQQhiLyPT4aEYfOII2YRJ6vTEvVOQLtx2AeUqqdz5MBXWC
KyjWcA4gRE7QhZIONWnjezPxNIIJh7zeI+z4LCzN2Chmqe+KIL92fBRAZYkVptE99SLxKS5OuAcP
7kOPyHKmTigI37mqJzREMkEi8gkXQViPBT1i1MFI6PAkUnyga4AlrAwpCMKOcw92AH6CPUyG8AJn
QACbQp0gFf6Eq/By25gbPbwXSoL1ZpywFszLLR4wUBfVBL3QzMZe8CECwqBtvY5hY3gwMpQBWAZR
bpDtJoCGkQTZquAN7wiYWmoTZsOYgBvBhN5IJgiHUk04Drgc2QToqCQOXENxXoa06oCyFWA8JqBH
AdmDdbyzI0NBPbSRd6wsS0XZw37P7zSDEm7C8gXdyiX7mGDKREwKs3m0EmXZIfymOXqHMR40nyfw
DVGlneVtDYdiQpGkLVCSEjoJtmR5KbEONH2vnTItpkmmgkIyddv8bBZPSsV2THsFnryyT7IJg1LB
Q/GQ4vAiZbbtfTTjBpV4b0oFzZjj7l2SE+ZG6LNiotK+ssLSvWMPa6smkMBS8/CLpvY8jxt5CGnj
LdrGjA8xYsR5HFfj3Gjiya4bXYF5UW+LqAYZZIodPu5D1/fBiQBBlu9xcE+6NcmnweUAT+QSbWuz
Nm0dkrxqo2Dhs0hiRGS45KqbSUg568pkWvJCnxek6IIFagiqFmWxG+KEnAyFhJkgQahQyWHcWnSr
lw3lxEXRqOamVTV4WLmAX2+rVwVc/WMDLlK6jBDJwFnKvN8Zng8uWFc3cSbvdREFB6z6lHfRU+1M
eqvUCFfctgXPMs1B5Ev2Wrfb4CLNnhtmcID++pFNDuk1RWfRCtZyFOvxty99Vec7IEo3cd3o61Zq
wbH1NmHmbVV0DIHjKLsya6ur0dokmqkeX7/YxTAP4RvvYcfM0yj0dqq8sXroraGZMoS228Dq0i06
rOFh2qzYQcc+yQq7pQ7QpLW65yAhyTDbBuPQnhjrcMpEya5VZDFX2R3fYb7GteCWSDQGFWW4o9CV
wkOS4/DZdI2/j9XUPfD0ZjRDO5wACUQ/DDA59bPqIoNayj6wFdu8IGkAyvIdC478NApjX9msn0n0
1RZFDyS30pN+a404GtmpNWSd4pwNLYZtqnyk2WlDdz0UwadAuv5BSi1am6pIV7lXfBobtFnDGMTH
nmZbpFjZLcblZqZ2/c61CTZxqiRaVQ0L015vEZPFZ7ur+8sOxOZ9u3joqlNOhsxOaZUlAjHwBhQq
bT1JL9OOG6XSYTtF4gbRs3vnFnGHmM57UslJrPHePaGUuVM7O7nrhQ3vJ2U5PgjnHurTucpp/FPb
hjJP4blKo+wyrsASKQiLFnqqIBdRUQOYvvCIui+6axRE2G4CSavKrzh+hyKQugM5RW6EpUUpkkVv
GPUF+n9WL72uXDY0ZuYq9zPQzmjPiysnDKfe2mWRQRbo2tC6CPJFrTz4Lcv/3p+S0D2xr6QDBqh1
qotRImUEpWJs3JRNXqDrPoXVHFWKp60sQAnUCKtd1Wv9TNb2PhP2quw6ag2t9jmWeNRrMUd7sCHm
s6HyK+kuGjV1NrqYM4sEYDRS6865kHX2ZYizVepUNmXl7Inl4QnjPKiMuJ8A3i5eI/alVDxjkhGD
M70/luJGcG1MnXenh9FlTlJORd8wERD75rNaJC3gEKSPCQ44N6KfPZSXdIJgoflkBVStrtwqVt9w
IYOOAsRDQtbsIcrdkxF3C62zt0I4+qfKovfXqjWwDqffK0SyXnJTp8vAakPkJOg0A3RVfp/8f5YN
9y1MY3Guz8tXkP9V81IO1y8V1Y/qLedh+ukpD7P6Nv9nv/TXB/rw8l2EwFPegOThDPwwz95pqyft
9Ds99uspvZ7vXx0hOddh3TwTZKeRAWcK19VNpj/SLkiy+ADtx//2Y9v9RbcovALTRt75NQOD1/vu
Cv3ZNfjrt/f1Yv7177x7A38auGcIR+Oc/85F+M0x/nURhPuLYWrC4hroFvxOF1H49xfBIiWB9BDD
BGlp2a71VQT/H3QRAJY4v42R+JM74U8vgqb/grtJRZdCFIoQpsat9f1FcJDg4/A0hP6a4zAlqPxn
3Qmsfo2vJ/XU/xch3b8+ob9/HP78Ili/MGbruOls9K1f0xK/uwhEaWAxQFJmwRU2daFxo/xnXQQB
gtn40cdB5XEgxNJwddVmReVyVb+7CLZF0gg5OrbQBVeKp+Y/7SLYiPUtjSDKHxsVTMY+nRxPQ7O5
EOAk3l8G4xfV1IjKcb4+D1Ny0N+9F/7G0PHrRDMHGfD8OsWEL9UfzUR/9gtvo+vvf/5tZN0+/9//
JZhB3v3ilG/69bX/NQP997vn5XX0/+6Hb7PB6+t8+/Nvb/D3L/3utd7e1ds3N+FLeS6fguH1B8O3
07w4p0xU/5M9B+X5w6k8P79UwbtJ0JwG5H+d0O/SWX+9C/7y+GWTnZ+Cc/JHLwEO/We8RFWd07cz
nS4++0tG7R89c9ILzuXbYabD6q6GQepHD7s5l8M5O78d6PVm0aHGvH3jD4Nw/9al3oTpn15pYag6
D+6PnvzunKbNh3P2/GF/rmCjlB/+d1Wf65f/83bo17dj6i6T3I++1v5cZiwG4/eXyqL5/hOOzQOR
/ObArwP8j5704RxXwfm5e3mRb2f5eklY3TDa/+jRj+fnYPjjh/XrSuVHX+CyDHmY3k50OvNpdfYT
PsxT89w8BS9lObw7uAWe+u0b//zGp/UanR/fjvN61hZT1ds3/vmBr8/RuapxXr4d6vXYtmb8hGPf
EHcUvhu2dJUp7+2V/vlJ357pt324OD83b8eazlrXLIuZ9EdvkLu6Ppd/NJR/WyX+6PHvX6r6w+wl
88/J28m+nr3FyvntG//80hzPDOkMXHX57h7/ttf50XNfNxFHfx9bzm2o6T9h1ljn787415XYj54z
0/85PWevQ/pF+JQ/8uluq4QRvnq73NP1ZwsrcMC+feuffwL/81fLAbbJbJR/ykAZjnn5flEwHdzW
3J8wz96WoWze30HfDv4Tnt7F+Znl2DTDXpwJJ/ywObcvSfh24afP4vW1dPsnfBjTK0wf9W+OrrEu
/wmX6XimUd68W0Fx6tPBf8JlOr74rCnPw7un4tvhf8KScvECpPL3l8X4CUuoxa/P2yJ8N0J/PXvj
J8yH83+X3fpdDezdFuS7nd1fren/TnjmD77E6zxz/lPowU9YS/1bqMIPvoPbFx4t/7crfQgxumbq
P+HhPZyfuT7f36MED+qUF1QqLRb/oN7ybx+0P9pP/lqG/P0u8628+Ed/9n4LPf3GU/JyLv/7/wEA
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play.google.com/store/apps/details?id=com.skillcourse.course" TargetMode="External"/><Relationship Id="rId1" Type="http://schemas.microsoft.com/office/2014/relationships/chartEx" Target="../charts/chartEx1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304798</xdr:colOff>
      <xdr:row>6</xdr:row>
      <xdr:rowOff>139042</xdr:rowOff>
    </xdr:from>
    <xdr:to>
      <xdr:col>8</xdr:col>
      <xdr:colOff>446689</xdr:colOff>
      <xdr:row>13</xdr:row>
      <xdr:rowOff>46350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BC0CFA-E49F-40CF-A059-DAB4621E0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1819" y="1242628"/>
          <a:ext cx="3894084" cy="1194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156755</xdr:colOff>
      <xdr:row>11</xdr:row>
      <xdr:rowOff>7022</xdr:rowOff>
    </xdr:from>
    <xdr:to>
      <xdr:col>2</xdr:col>
      <xdr:colOff>465908</xdr:colOff>
      <xdr:row>14</xdr:row>
      <xdr:rowOff>23522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C329A1-1984-4167-A7A7-E2C8654D9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755" y="2018702"/>
          <a:ext cx="1841862" cy="565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70625</xdr:colOff>
      <xdr:row>8</xdr:row>
      <xdr:rowOff>126380</xdr:rowOff>
    </xdr:from>
    <xdr:to>
      <xdr:col>2</xdr:col>
      <xdr:colOff>611511</xdr:colOff>
      <xdr:row>11</xdr:row>
      <xdr:rowOff>145111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FE30A3-CDFF-48DF-808B-C0EC107CD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25" y="1583473"/>
          <a:ext cx="1841862" cy="565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43543</xdr:colOff>
      <xdr:row>10</xdr:row>
      <xdr:rowOff>100148</xdr:rowOff>
    </xdr:from>
    <xdr:to>
      <xdr:col>2</xdr:col>
      <xdr:colOff>618308</xdr:colOff>
      <xdr:row>13</xdr:row>
      <xdr:rowOff>116648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A2BCD-2129-4E30-B353-7E99ECD41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43" y="1928948"/>
          <a:ext cx="1841862" cy="5651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390525</xdr:colOff>
      <xdr:row>13</xdr:row>
      <xdr:rowOff>9525</xdr:rowOff>
    </xdr:from>
    <xdr:to>
      <xdr:col>13</xdr:col>
      <xdr:colOff>403587</xdr:colOff>
      <xdr:row>16</xdr:row>
      <xdr:rowOff>31740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AF85BF-7EAB-4E9A-A742-E17219E68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9400" y="2362200"/>
          <a:ext cx="1841862" cy="5651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570412</xdr:colOff>
      <xdr:row>10</xdr:row>
      <xdr:rowOff>34834</xdr:rowOff>
    </xdr:from>
    <xdr:to>
      <xdr:col>7</xdr:col>
      <xdr:colOff>583474</xdr:colOff>
      <xdr:row>13</xdr:row>
      <xdr:rowOff>51334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002CF7-11E1-482F-AA0A-704F4AE11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08961" y="1863634"/>
          <a:ext cx="1841862" cy="5651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373117</xdr:colOff>
      <xdr:row>17</xdr:row>
      <xdr:rowOff>168165</xdr:rowOff>
    </xdr:from>
    <xdr:to>
      <xdr:col>3</xdr:col>
      <xdr:colOff>386179</xdr:colOff>
      <xdr:row>20</xdr:row>
      <xdr:rowOff>181512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F66475-E8A3-42DB-BF04-0B78245F0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117" y="3294993"/>
          <a:ext cx="1841862" cy="5651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609598</xdr:colOff>
      <xdr:row>8</xdr:row>
      <xdr:rowOff>80209</xdr:rowOff>
    </xdr:from>
    <xdr:to>
      <xdr:col>8</xdr:col>
      <xdr:colOff>573505</xdr:colOff>
      <xdr:row>13</xdr:row>
      <xdr:rowOff>21637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FB73AF-774C-4C6B-9110-202B61BCF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3482" y="1556083"/>
          <a:ext cx="2815391" cy="86384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709613</xdr:colOff>
      <xdr:row>10</xdr:row>
      <xdr:rowOff>57149</xdr:rowOff>
    </xdr:from>
    <xdr:to>
      <xdr:col>12</xdr:col>
      <xdr:colOff>174302</xdr:colOff>
      <xdr:row>16</xdr:row>
      <xdr:rowOff>66674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08ACA4-DE7D-49AA-80B5-173C23E3A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3513" y="1866899"/>
          <a:ext cx="3569964" cy="1095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383628</xdr:colOff>
      <xdr:row>11</xdr:row>
      <xdr:rowOff>15765</xdr:rowOff>
    </xdr:from>
    <xdr:to>
      <xdr:col>9</xdr:col>
      <xdr:colOff>357010</xdr:colOff>
      <xdr:row>17</xdr:row>
      <xdr:rowOff>26275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F94830-937E-4C6E-875C-09A69F2E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7890" y="2039006"/>
          <a:ext cx="3630982" cy="111409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596537</xdr:colOff>
      <xdr:row>8</xdr:row>
      <xdr:rowOff>130628</xdr:rowOff>
    </xdr:from>
    <xdr:to>
      <xdr:col>8</xdr:col>
      <xdr:colOff>160331</xdr:colOff>
      <xdr:row>14</xdr:row>
      <xdr:rowOff>21771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B9095C-4108-482B-80F7-A3A2D7548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5737" y="1593668"/>
          <a:ext cx="3221394" cy="9884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822960</xdr:colOff>
      <xdr:row>10</xdr:row>
      <xdr:rowOff>163528</xdr:rowOff>
    </xdr:from>
    <xdr:to>
      <xdr:col>9</xdr:col>
      <xdr:colOff>457200</xdr:colOff>
      <xdr:row>14</xdr:row>
      <xdr:rowOff>142775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71F52-CBC5-42F1-AEA5-273A77274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1371" y="1992328"/>
          <a:ext cx="2316480" cy="71076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387569</xdr:colOff>
      <xdr:row>0</xdr:row>
      <xdr:rowOff>83426</xdr:rowOff>
    </xdr:from>
    <xdr:to>
      <xdr:col>10</xdr:col>
      <xdr:colOff>72259</xdr:colOff>
      <xdr:row>14</xdr:row>
      <xdr:rowOff>159626</xdr:rowOff>
    </xdr:to>
    <mc:AlternateContent xmlns:mc="http://schemas.openxmlformats.org/markup-compatibility/2006">
      <mc:Choice xmlns:cx4="http://schemas.microsoft.com/office/drawing/2016/5/10/chartex" xmlns="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D27560C-7D81-4E16-AF8C-906DE529E2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00000000-0008-0000-0C00-000002000000}"/>
                </a:ext>
              </a:extLst>
            </xdr:cNvPr>
            <xdr:cNvSpPr>
              <a:spLocks noTextEdit="1"/>
            </xdr:cNvSpPr>
          </xdr:nvSpPr>
          <xdr:spPr>
            <a:xfrm>
              <a:off x="1997294" y="83426"/>
              <a:ext cx="456149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231228</xdr:colOff>
      <xdr:row>13</xdr:row>
      <xdr:rowOff>178676</xdr:rowOff>
    </xdr:from>
    <xdr:to>
      <xdr:col>14</xdr:col>
      <xdr:colOff>244290</xdr:colOff>
      <xdr:row>17</xdr:row>
      <xdr:rowOff>8091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2821F9-686E-4262-9470-859369D29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57242" y="2569779"/>
          <a:ext cx="1841862" cy="56514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230776</xdr:colOff>
      <xdr:row>9</xdr:row>
      <xdr:rowOff>56606</xdr:rowOff>
    </xdr:from>
    <xdr:to>
      <xdr:col>11</xdr:col>
      <xdr:colOff>375787</xdr:colOff>
      <xdr:row>14</xdr:row>
      <xdr:rowOff>121920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FCD635-EB1F-4F80-8090-182F0AD98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3805" y="1702526"/>
          <a:ext cx="3193011" cy="97971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Clustered Bar. 'Sales' by 'Zone'&#10;&#10;Description automatically generated">
          <a:extLst>
            <a:ext uri="{FF2B5EF4-FFF2-40B4-BE49-F238E27FC236}">
              <a16:creationId xmlns:a16="http://schemas.microsoft.com/office/drawing/2014/main" id="{B1CEF866-7BFC-485B-880E-7E2BBE74E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Clustered Bar. 'Sales' by 'Zone' where 'Sales' is greater than 120&#10;&#10;Description automatically generated">
          <a:extLst>
            <a:ext uri="{FF2B5EF4-FFF2-40B4-BE49-F238E27FC236}">
              <a16:creationId xmlns:a16="http://schemas.microsoft.com/office/drawing/2014/main" id="{1F13801C-5445-4243-A6B3-E54C69A33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arn More" refreshedDate="44176.774140624999" createdVersion="6" refreshedVersion="6" minRefreshableVersion="3" recordCount="10">
  <cacheSource type="worksheet">
    <worksheetSource ref="E1:F11" sheet="ANALYZE DATA"/>
  </cacheSource>
  <cacheFields count="2">
    <cacheField name="Salesman" numFmtId="0">
      <sharedItems/>
    </cacheField>
    <cacheField name="Product" numFmtId="0">
      <sharedItems count="5">
        <s v="Zandubalm"/>
        <s v="Tigerbalm"/>
        <s v="Toothpaste"/>
        <s v="Toothbrush"/>
        <s v="Iode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arn More" refreshedDate="44189.540117129633" createdVersion="6" refreshedVersion="6" minRefreshableVersion="3" recordCount="10">
  <cacheSource type="worksheet">
    <worksheetSource ref="A1:B11" sheet="ANALYZE DATA"/>
  </cacheSource>
  <cacheFields count="2">
    <cacheField name="Zone" numFmtId="0">
      <sharedItems count="3">
        <s v="South City"/>
        <s v="North City"/>
        <s v="West City"/>
      </sharedItems>
    </cacheField>
    <cacheField name="Sales" numFmtId="0">
      <sharedItems containsSemiMixedTypes="0" containsString="0" containsNumber="1" containsInteger="1" minValue="32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Shaktimaan"/>
    <x v="0"/>
  </r>
  <r>
    <s v="Ironman"/>
    <x v="1"/>
  </r>
  <r>
    <s v="Superman"/>
    <x v="2"/>
  </r>
  <r>
    <s v="Thor"/>
    <x v="3"/>
  </r>
  <r>
    <s v="Batman"/>
    <x v="4"/>
  </r>
  <r>
    <s v="Spiderman"/>
    <x v="1"/>
  </r>
  <r>
    <s v="Antman"/>
    <x v="3"/>
  </r>
  <r>
    <s v="Hitman"/>
    <x v="0"/>
  </r>
  <r>
    <s v="Ratman"/>
    <x v="0"/>
  </r>
  <r>
    <s v="Netman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99"/>
  </r>
  <r>
    <x v="1"/>
    <n v="65"/>
  </r>
  <r>
    <x v="2"/>
    <n v="32"/>
  </r>
  <r>
    <x v="0"/>
    <n v="65"/>
  </r>
  <r>
    <x v="1"/>
    <n v="98"/>
  </r>
  <r>
    <x v="2"/>
    <n v="65"/>
  </r>
  <r>
    <x v="0"/>
    <n v="32"/>
  </r>
  <r>
    <x v="1"/>
    <n v="65"/>
  </r>
  <r>
    <x v="2"/>
    <n v="54"/>
  </r>
  <r>
    <x v="0"/>
    <n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7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>
  <location ref="C4:D7" firstHeaderRow="1" firstDataRow="1" firstDataCol="1"/>
  <pivotFields count="2">
    <pivotField showAll="0"/>
    <pivotField axis="axisRow" dataField="1" showAll="0" measureFilter="1" sortType="descending">
      <items count="6">
        <item x="4"/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3">
    <i>
      <x v="4"/>
    </i>
    <i>
      <x v="1"/>
    </i>
    <i t="grand">
      <x/>
    </i>
  </rowItems>
  <colItems count="1">
    <i/>
  </colItems>
  <dataFields count="1">
    <dataField name="Count of Product" fld="1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8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C4:D8" firstHeaderRow="1" firstDataRow="1" firstDataCol="1"/>
  <pivotFields count="2"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18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chartFormat="1">
  <location ref="C4:D8" firstHeaderRow="1" firstDataRow="1" firstDataCol="1"/>
  <pivotFields count="2">
    <pivotField axis="axisRow" showAll="0" measureFilter="1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1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ay.google.com/store/apps/details?id=com.skillcourse.cours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5"/>
  <sheetViews>
    <sheetView zoomScale="145" zoomScaleNormal="145" workbookViewId="0">
      <selection activeCell="E17" sqref="E17"/>
    </sheetView>
  </sheetViews>
  <sheetFormatPr defaultColWidth="9.140625" defaultRowHeight="15"/>
  <cols>
    <col min="1" max="1" width="24.5703125" customWidth="1"/>
    <col min="2" max="2" width="9.140625" style="21" customWidth="1"/>
  </cols>
  <sheetData>
    <row r="1" spans="1:10">
      <c r="A1" s="22" t="s">
        <v>109</v>
      </c>
      <c r="B1" s="27" t="s">
        <v>122</v>
      </c>
      <c r="C1" s="27"/>
      <c r="D1" s="27"/>
      <c r="E1" s="27"/>
      <c r="F1" s="27"/>
      <c r="G1" s="27"/>
      <c r="H1" s="27"/>
      <c r="I1" s="27"/>
      <c r="J1" s="27"/>
    </row>
    <row r="2" spans="1:10">
      <c r="A2" s="18" t="s">
        <v>98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19" t="s">
        <v>97</v>
      </c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19" t="s">
        <v>99</v>
      </c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19" t="s">
        <v>100</v>
      </c>
      <c r="B5" s="27"/>
      <c r="C5" s="27"/>
      <c r="D5" s="27"/>
      <c r="E5" s="27"/>
      <c r="F5" s="27"/>
      <c r="G5" s="27"/>
      <c r="H5" s="27"/>
      <c r="I5" s="27"/>
      <c r="J5" s="27"/>
    </row>
    <row r="6" spans="1:10">
      <c r="A6" s="19" t="s">
        <v>101</v>
      </c>
      <c r="B6" s="27"/>
      <c r="C6" s="27"/>
      <c r="D6" s="27"/>
      <c r="E6" s="27"/>
      <c r="F6" s="27"/>
      <c r="G6" s="27"/>
      <c r="H6" s="27"/>
      <c r="I6" s="27"/>
      <c r="J6" s="27"/>
    </row>
    <row r="7" spans="1:10">
      <c r="A7" s="19" t="s">
        <v>102</v>
      </c>
      <c r="B7" s="27"/>
      <c r="C7" s="27"/>
      <c r="D7" s="27"/>
      <c r="E7" s="27"/>
      <c r="F7" s="27"/>
      <c r="G7" s="27"/>
      <c r="H7" s="27"/>
      <c r="I7" s="27"/>
      <c r="J7" s="27"/>
    </row>
    <row r="8" spans="1:10">
      <c r="A8" s="19" t="s">
        <v>103</v>
      </c>
      <c r="B8" s="27"/>
      <c r="C8" s="27"/>
      <c r="D8" s="27"/>
      <c r="E8" s="27"/>
      <c r="F8" s="27"/>
      <c r="G8" s="27"/>
      <c r="H8" s="27"/>
      <c r="I8" s="27"/>
      <c r="J8" s="27"/>
    </row>
    <row r="9" spans="1:10">
      <c r="A9" s="19" t="s">
        <v>104</v>
      </c>
      <c r="B9" s="27"/>
      <c r="C9" s="27"/>
      <c r="D9" s="27"/>
      <c r="E9" s="27"/>
      <c r="F9" s="27"/>
      <c r="G9" s="27"/>
      <c r="H9" s="27"/>
      <c r="I9" s="27"/>
      <c r="J9" s="27"/>
    </row>
    <row r="10" spans="1:10">
      <c r="A10" s="19" t="s">
        <v>105</v>
      </c>
      <c r="B10" s="27"/>
      <c r="C10" s="27"/>
      <c r="D10" s="27"/>
      <c r="E10" s="27"/>
      <c r="F10" s="27"/>
      <c r="G10" s="27"/>
      <c r="H10" s="27"/>
      <c r="I10" s="27"/>
      <c r="J10" s="27"/>
    </row>
    <row r="11" spans="1:10">
      <c r="A11" s="19" t="s">
        <v>106</v>
      </c>
      <c r="B11" s="27"/>
      <c r="C11" s="27"/>
      <c r="D11" s="27"/>
      <c r="E11" s="27"/>
      <c r="F11" s="27"/>
      <c r="G11" s="27"/>
      <c r="H11" s="27"/>
      <c r="I11" s="27"/>
      <c r="J11" s="27"/>
    </row>
    <row r="12" spans="1:10">
      <c r="A12" s="19" t="s">
        <v>107</v>
      </c>
      <c r="B12" s="27"/>
      <c r="C12" s="27"/>
      <c r="D12" s="27"/>
      <c r="E12" s="27"/>
      <c r="F12" s="27"/>
      <c r="G12" s="27"/>
      <c r="H12" s="27"/>
      <c r="I12" s="27"/>
      <c r="J12" s="27"/>
    </row>
    <row r="13" spans="1:10">
      <c r="A13" s="19" t="s">
        <v>108</v>
      </c>
      <c r="B13" s="27"/>
      <c r="C13" s="27"/>
      <c r="D13" s="27"/>
      <c r="E13" s="27"/>
      <c r="F13" s="27"/>
      <c r="G13" s="27"/>
      <c r="H13" s="27"/>
      <c r="I13" s="27"/>
      <c r="J13" s="27"/>
    </row>
    <row r="14" spans="1:10">
      <c r="A14" s="20"/>
      <c r="B14" s="27"/>
      <c r="C14" s="27"/>
      <c r="D14" s="27"/>
      <c r="E14" s="27"/>
      <c r="F14" s="27"/>
      <c r="G14" s="27"/>
      <c r="H14" s="27"/>
      <c r="I14" s="27"/>
      <c r="J14" s="27"/>
    </row>
    <row r="15" spans="1:10">
      <c r="B15" s="21" t="s">
        <v>121</v>
      </c>
    </row>
  </sheetData>
  <mergeCells count="1">
    <mergeCell ref="B1:J14"/>
  </mergeCells>
  <hyperlinks>
    <hyperlink ref="B1:J14" r:id="rId1" display="DOWNLOAD OUR APP FROM PLAYSTORE &quot; LEARN MORE &quot;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0"/>
  <sheetViews>
    <sheetView zoomScale="175" zoomScaleNormal="175" workbookViewId="0">
      <selection activeCell="D13" sqref="D13"/>
    </sheetView>
  </sheetViews>
  <sheetFormatPr defaultRowHeight="15"/>
  <cols>
    <col min="1" max="1" width="10.7109375" bestFit="1" customWidth="1"/>
    <col min="2" max="2" width="11.7109375" bestFit="1" customWidth="1"/>
    <col min="3" max="3" width="12.7109375" bestFit="1" customWidth="1"/>
    <col min="6" max="6" width="10.5703125" bestFit="1" customWidth="1"/>
    <col min="7" max="7" width="12.7109375" bestFit="1" customWidth="1"/>
  </cols>
  <sheetData>
    <row r="1" spans="1:7">
      <c r="A1" t="s">
        <v>38</v>
      </c>
      <c r="B1" t="s">
        <v>32</v>
      </c>
      <c r="C1" t="s">
        <v>33</v>
      </c>
      <c r="F1" t="s">
        <v>32</v>
      </c>
      <c r="G1" t="s">
        <v>33</v>
      </c>
    </row>
    <row r="2" spans="1:7">
      <c r="A2" t="s">
        <v>39</v>
      </c>
      <c r="B2">
        <v>121</v>
      </c>
      <c r="C2" t="str" cm="1">
        <f t="array" ref="C2">_xlfn.SWITCH(B2,$F$2,$G$2,$F$3,$G$3,$F$4,$G$4,$F$5,$G$5)</f>
        <v>ZANDU BALM</v>
      </c>
      <c r="F2">
        <v>121</v>
      </c>
      <c r="G2" t="s">
        <v>34</v>
      </c>
    </row>
    <row r="3" spans="1:7">
      <c r="A3" t="s">
        <v>40</v>
      </c>
      <c r="B3">
        <v>135</v>
      </c>
      <c r="C3" t="str" cm="1">
        <f t="array" ref="C3">_xlfn.SWITCH(B3,$F$2,$G$2,$F$3,$G$3,$F$4,$G$4,$F$5,$G$5)</f>
        <v>TIGER BALM</v>
      </c>
      <c r="F3">
        <v>135</v>
      </c>
      <c r="G3" t="s">
        <v>35</v>
      </c>
    </row>
    <row r="4" spans="1:7">
      <c r="A4" t="s">
        <v>41</v>
      </c>
      <c r="B4">
        <v>171</v>
      </c>
      <c r="C4" t="str" cm="1">
        <f t="array" ref="C4">_xlfn.SWITCH(B4,$F$2,$G$2,$F$3,$G$3,$F$4,$G$4,$F$5,$G$5)</f>
        <v>NEW BALM</v>
      </c>
      <c r="F4">
        <v>171</v>
      </c>
      <c r="G4" t="s">
        <v>36</v>
      </c>
    </row>
    <row r="5" spans="1:7">
      <c r="A5" t="s">
        <v>42</v>
      </c>
      <c r="B5">
        <v>121</v>
      </c>
      <c r="C5" t="str" cm="1">
        <f t="array" ref="C5">_xlfn.SWITCH(B5,$F$2,$G$2,$F$3,$G$3,$F$4,$G$4,$F$5,$G$5)</f>
        <v>ZANDU BALM</v>
      </c>
      <c r="F5">
        <v>195</v>
      </c>
      <c r="G5" t="s">
        <v>37</v>
      </c>
    </row>
    <row r="6" spans="1:7">
      <c r="A6" t="s">
        <v>43</v>
      </c>
      <c r="B6">
        <v>195</v>
      </c>
      <c r="C6" t="str" cm="1">
        <f t="array" ref="C6">_xlfn.SWITCH(B6,$F$2,$G$2,$F$3,$G$3,$F$4,$G$4,$F$5,$G$5)</f>
        <v>OLD BALM</v>
      </c>
    </row>
    <row r="7" spans="1:7">
      <c r="A7" t="s">
        <v>44</v>
      </c>
      <c r="B7">
        <v>195</v>
      </c>
      <c r="C7" t="str" cm="1">
        <f t="array" ref="C7">_xlfn.SWITCH(B7,$F$2,$G$2,$F$3,$G$3,$F$4,$G$4,$F$5,$G$5)</f>
        <v>OLD BALM</v>
      </c>
    </row>
    <row r="8" spans="1:7">
      <c r="A8" t="s">
        <v>45</v>
      </c>
      <c r="B8">
        <v>121</v>
      </c>
      <c r="C8" t="str" cm="1">
        <f t="array" ref="C8">_xlfn.SWITCH(B8,$F$2,$G$2,$F$3,$G$3,$F$4,$G$4,$F$5,$G$5)</f>
        <v>ZANDU BALM</v>
      </c>
    </row>
    <row r="9" spans="1:7">
      <c r="A9" t="s">
        <v>46</v>
      </c>
      <c r="B9">
        <v>195</v>
      </c>
      <c r="C9" t="str" cm="1">
        <f t="array" ref="C9">_xlfn.SWITCH(B9,$F$2,$G$2,$F$3,$G$3,$F$4,$G$4,$F$5,$G$5)</f>
        <v>OLD BALM</v>
      </c>
    </row>
    <row r="10" spans="1:7">
      <c r="A10" t="s">
        <v>47</v>
      </c>
      <c r="B10">
        <v>195</v>
      </c>
      <c r="C10" t="str" cm="1">
        <f t="array" ref="C10">_xlfn.SWITCH(B10,$F$2,$G$2,$F$3,$G$3,$F$4,$G$4,$F$5,$G$5)</f>
        <v>OLD BALM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6"/>
  <sheetViews>
    <sheetView zoomScale="205" zoomScaleNormal="205" workbookViewId="0">
      <selection activeCell="C2" sqref="C2"/>
    </sheetView>
  </sheetViews>
  <sheetFormatPr defaultRowHeight="15"/>
  <cols>
    <col min="1" max="1" width="11.7109375" customWidth="1"/>
    <col min="2" max="2" width="7.28515625" customWidth="1"/>
    <col min="3" max="3" width="24.140625" customWidth="1"/>
  </cols>
  <sheetData>
    <row r="1" spans="1:3">
      <c r="A1" s="3" t="s">
        <v>0</v>
      </c>
      <c r="B1" s="3" t="s">
        <v>1</v>
      </c>
      <c r="C1" s="3" t="s">
        <v>7</v>
      </c>
    </row>
    <row r="2" spans="1:3">
      <c r="A2" s="2" t="s">
        <v>2</v>
      </c>
      <c r="B2" s="4">
        <v>45</v>
      </c>
      <c r="C2" s="2" t="str">
        <f>_xlfn.TEXTJOIN(" Sold Quantity ",TRUE,A2:B2)</f>
        <v>Ajay Sold Quantity 45</v>
      </c>
    </row>
    <row r="3" spans="1:3">
      <c r="A3" s="2" t="s">
        <v>3</v>
      </c>
      <c r="B3" s="4">
        <v>65</v>
      </c>
      <c r="C3" s="2" t="str">
        <f t="shared" ref="C3:C6" si="0">_xlfn.TEXTJOIN(" Sold Quantity ",TRUE,A3:B3)</f>
        <v>Vikas Sold Quantity 65</v>
      </c>
    </row>
    <row r="4" spans="1:3">
      <c r="A4" s="2"/>
      <c r="B4" s="4"/>
      <c r="C4" s="2" t="str">
        <f t="shared" si="0"/>
        <v/>
      </c>
    </row>
    <row r="5" spans="1:3">
      <c r="A5" s="2" t="s">
        <v>5</v>
      </c>
      <c r="B5" s="4">
        <v>65</v>
      </c>
      <c r="C5" s="2" t="str">
        <f t="shared" si="0"/>
        <v>Ravi Sold Quantity 65</v>
      </c>
    </row>
    <row r="6" spans="1:3">
      <c r="A6" s="2" t="s">
        <v>6</v>
      </c>
      <c r="B6" s="4">
        <v>65</v>
      </c>
      <c r="C6" s="2" t="str">
        <f t="shared" si="0"/>
        <v>Simran Sold Quantity 65</v>
      </c>
    </row>
  </sheetData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7"/>
  <sheetViews>
    <sheetView zoomScale="175" zoomScaleNormal="175" workbookViewId="0">
      <selection activeCell="C4" sqref="C4"/>
    </sheetView>
  </sheetViews>
  <sheetFormatPr defaultRowHeight="15"/>
  <cols>
    <col min="2" max="2" width="9.5703125" customWidth="1"/>
    <col min="3" max="3" width="12.42578125" bestFit="1" customWidth="1"/>
  </cols>
  <sheetData>
    <row r="1" spans="1:9">
      <c r="A1" s="5" t="s">
        <v>0</v>
      </c>
      <c r="B1" s="5" t="s">
        <v>1</v>
      </c>
      <c r="C1" s="5" t="s">
        <v>8</v>
      </c>
      <c r="D1" s="1"/>
      <c r="E1" s="1"/>
      <c r="F1" s="1"/>
      <c r="G1" s="1" t="s">
        <v>9</v>
      </c>
      <c r="H1" s="1"/>
      <c r="I1" s="1" t="s">
        <v>8</v>
      </c>
    </row>
    <row r="2" spans="1:9">
      <c r="A2" s="6" t="s">
        <v>2</v>
      </c>
      <c r="B2" s="6">
        <v>45</v>
      </c>
      <c r="C2" s="6" t="str" cm="1">
        <f t="array" ref="C2">_xlfn.IFS(B2&gt;=80,"Best",B2&gt;=60,"Good",B2&gt;=40,"Average",B2&lt;40,"Dull")</f>
        <v>Average</v>
      </c>
      <c r="D2" s="1"/>
      <c r="E2" s="1"/>
      <c r="F2" s="1"/>
      <c r="G2" s="1">
        <v>80</v>
      </c>
      <c r="H2" s="1" t="s">
        <v>11</v>
      </c>
      <c r="I2" s="1" t="s">
        <v>12</v>
      </c>
    </row>
    <row r="3" spans="1:9">
      <c r="A3" s="6" t="s">
        <v>3</v>
      </c>
      <c r="B3" s="6">
        <v>65</v>
      </c>
      <c r="C3" s="6" t="str" cm="1">
        <f t="array" ref="C3">_xlfn.IFS(B3&gt;=80,"Best",B3&gt;=60,"Good",B3&gt;=40,"Average",B3&lt;40,"Dull")</f>
        <v>Good</v>
      </c>
      <c r="D3" s="1"/>
      <c r="E3" s="1"/>
      <c r="F3" s="1"/>
      <c r="G3" s="1">
        <v>60</v>
      </c>
      <c r="H3" s="1" t="s">
        <v>11</v>
      </c>
      <c r="I3" s="1" t="s">
        <v>13</v>
      </c>
    </row>
    <row r="4" spans="1:9">
      <c r="A4" s="6" t="s">
        <v>4</v>
      </c>
      <c r="B4" s="6">
        <v>98</v>
      </c>
      <c r="C4" s="6" t="str" cm="1">
        <f t="array" ref="C4">_xlfn.IFS(B4&gt;=80,"Best",B4&gt;=60,"Good",B4&gt;=40,"Average",B4&lt;40,"Dull")</f>
        <v>Best</v>
      </c>
      <c r="D4" s="1"/>
      <c r="E4" s="1"/>
      <c r="F4" s="1"/>
      <c r="G4" s="1">
        <v>40</v>
      </c>
      <c r="H4" s="1" t="s">
        <v>11</v>
      </c>
      <c r="I4" s="1" t="s">
        <v>10</v>
      </c>
    </row>
    <row r="5" spans="1:9">
      <c r="A5" s="6" t="s">
        <v>5</v>
      </c>
      <c r="B5" s="6">
        <v>65</v>
      </c>
      <c r="C5" s="6" t="str" cm="1">
        <f t="array" ref="C5">_xlfn.IFS(B5&gt;=80,"Best",B5&gt;=60,"Good",B5&gt;=40,"Average",B5&lt;40,"Dull")</f>
        <v>Good</v>
      </c>
      <c r="D5" s="1"/>
      <c r="E5" s="1"/>
      <c r="F5" s="1"/>
      <c r="G5" s="1">
        <v>40</v>
      </c>
      <c r="H5" s="1" t="s">
        <v>14</v>
      </c>
      <c r="I5" s="1" t="s">
        <v>15</v>
      </c>
    </row>
    <row r="6" spans="1:9">
      <c r="A6" s="6" t="s">
        <v>6</v>
      </c>
      <c r="B6" s="6">
        <v>35</v>
      </c>
      <c r="C6" s="6" t="str" cm="1">
        <f t="array" ref="C6">_xlfn.IFS(B6&gt;=80,"Best",B6&gt;=60,"Good",B6&gt;=40,"Average",B6&lt;40,"Dull")</f>
        <v>Dull</v>
      </c>
      <c r="D6" s="1"/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14"/>
  <sheetViews>
    <sheetView zoomScale="160" zoomScaleNormal="160" workbookViewId="0">
      <selection activeCell="I2" sqref="I2"/>
    </sheetView>
  </sheetViews>
  <sheetFormatPr defaultRowHeight="15"/>
  <cols>
    <col min="7" max="7" width="11" customWidth="1"/>
  </cols>
  <sheetData>
    <row r="1" spans="1:9">
      <c r="A1" s="5" t="s">
        <v>0</v>
      </c>
      <c r="B1" s="5" t="s">
        <v>16</v>
      </c>
      <c r="C1" s="5" t="s">
        <v>17</v>
      </c>
      <c r="D1" s="5" t="s">
        <v>1</v>
      </c>
      <c r="E1" s="1"/>
      <c r="F1" s="2"/>
      <c r="G1" s="7" t="s">
        <v>18</v>
      </c>
      <c r="H1" s="8"/>
      <c r="I1" s="7" t="s">
        <v>21</v>
      </c>
    </row>
    <row r="2" spans="1:9">
      <c r="A2" s="6" t="s">
        <v>2</v>
      </c>
      <c r="B2" s="6" t="s">
        <v>18</v>
      </c>
      <c r="C2" s="6" t="s">
        <v>19</v>
      </c>
      <c r="D2" s="6">
        <v>78</v>
      </c>
      <c r="E2" s="1"/>
      <c r="F2" s="2" t="s">
        <v>48</v>
      </c>
      <c r="G2" s="8">
        <f>_xlfn.MAXIFS($D$2:$D$14,$C$2:$C$14,F2,$B$2:$B$14,$G$1)</f>
        <v>78</v>
      </c>
      <c r="H2" s="8" t="s">
        <v>48</v>
      </c>
      <c r="I2" s="8">
        <f>_xlfn.MINIFS($D$2:$D$14,$C$2:$C$14,H2,$B$2:$B$14,$I$1)</f>
        <v>68</v>
      </c>
    </row>
    <row r="3" spans="1:9">
      <c r="A3" s="6" t="s">
        <v>3</v>
      </c>
      <c r="B3" s="6" t="s">
        <v>18</v>
      </c>
      <c r="C3" s="6" t="s">
        <v>20</v>
      </c>
      <c r="D3" s="6">
        <v>44</v>
      </c>
      <c r="E3" s="1"/>
      <c r="F3" s="2" t="s">
        <v>49</v>
      </c>
      <c r="G3" s="8">
        <f>_xlfn.MAXIFS($D$2:$D$14,$C$2:$C$14,F3,$B$2:$B$14,$G$1)</f>
        <v>98</v>
      </c>
      <c r="H3" s="8" t="s">
        <v>49</v>
      </c>
      <c r="I3" s="8">
        <f>_xlfn.MINIFS($D$2:$D$14,$C$2:$C$14,H3,$B$2:$B$14,$I$1)</f>
        <v>61</v>
      </c>
    </row>
    <row r="4" spans="1:9">
      <c r="A4" s="6" t="s">
        <v>4</v>
      </c>
      <c r="B4" s="6" t="s">
        <v>21</v>
      </c>
      <c r="C4" s="6" t="s">
        <v>19</v>
      </c>
      <c r="D4" s="6">
        <v>97</v>
      </c>
      <c r="E4" s="1"/>
      <c r="F4" s="1"/>
    </row>
    <row r="5" spans="1:9">
      <c r="A5" s="6" t="s">
        <v>5</v>
      </c>
      <c r="B5" s="6" t="s">
        <v>21</v>
      </c>
      <c r="C5" s="6" t="s">
        <v>20</v>
      </c>
      <c r="D5" s="6">
        <v>61</v>
      </c>
      <c r="E5" s="1"/>
      <c r="F5" s="1"/>
    </row>
    <row r="6" spans="1:9">
      <c r="A6" s="6" t="s">
        <v>6</v>
      </c>
      <c r="B6" s="6" t="s">
        <v>22</v>
      </c>
      <c r="C6" s="6" t="s">
        <v>19</v>
      </c>
      <c r="D6" s="6">
        <v>31</v>
      </c>
      <c r="E6" s="1"/>
      <c r="F6" s="1"/>
    </row>
    <row r="7" spans="1:9">
      <c r="A7" s="6" t="s">
        <v>23</v>
      </c>
      <c r="B7" s="6" t="s">
        <v>22</v>
      </c>
      <c r="C7" s="6" t="s">
        <v>20</v>
      </c>
      <c r="D7" s="6">
        <v>47</v>
      </c>
      <c r="E7" s="1"/>
      <c r="F7" s="1"/>
    </row>
    <row r="8" spans="1:9">
      <c r="A8" s="6" t="s">
        <v>24</v>
      </c>
      <c r="B8" s="6" t="s">
        <v>21</v>
      </c>
      <c r="C8" s="6" t="s">
        <v>19</v>
      </c>
      <c r="D8" s="6">
        <v>68</v>
      </c>
      <c r="E8" s="1"/>
      <c r="F8" s="1"/>
    </row>
    <row r="9" spans="1:9">
      <c r="A9" s="6" t="s">
        <v>26</v>
      </c>
      <c r="B9" s="6" t="s">
        <v>22</v>
      </c>
      <c r="C9" s="6" t="s">
        <v>20</v>
      </c>
      <c r="D9" s="6">
        <v>21</v>
      </c>
      <c r="E9" s="1"/>
      <c r="F9" s="1"/>
    </row>
    <row r="10" spans="1:9">
      <c r="A10" s="6" t="s">
        <v>27</v>
      </c>
      <c r="B10" s="6" t="s">
        <v>18</v>
      </c>
      <c r="C10" s="6" t="s">
        <v>19</v>
      </c>
      <c r="D10" s="6">
        <v>63</v>
      </c>
      <c r="E10" s="1"/>
      <c r="F10" s="1"/>
    </row>
    <row r="11" spans="1:9">
      <c r="A11" s="6" t="s">
        <v>28</v>
      </c>
      <c r="B11" s="6" t="s">
        <v>22</v>
      </c>
      <c r="C11" s="6" t="s">
        <v>20</v>
      </c>
      <c r="D11" s="6">
        <v>25</v>
      </c>
      <c r="E11" s="1"/>
      <c r="F11" s="1"/>
    </row>
    <row r="12" spans="1:9">
      <c r="A12" s="6" t="s">
        <v>29</v>
      </c>
      <c r="B12" s="6" t="s">
        <v>25</v>
      </c>
      <c r="C12" s="6" t="s">
        <v>19</v>
      </c>
      <c r="D12" s="6">
        <v>36</v>
      </c>
      <c r="E12" s="1"/>
      <c r="F12" s="1"/>
    </row>
    <row r="13" spans="1:9">
      <c r="A13" s="6" t="s">
        <v>30</v>
      </c>
      <c r="B13" s="6" t="s">
        <v>18</v>
      </c>
      <c r="C13" s="6" t="s">
        <v>20</v>
      </c>
      <c r="D13" s="6">
        <v>98</v>
      </c>
      <c r="E13" s="1"/>
      <c r="F13" s="1"/>
    </row>
    <row r="14" spans="1:9">
      <c r="A14" s="6" t="s">
        <v>31</v>
      </c>
      <c r="B14" s="6" t="s">
        <v>18</v>
      </c>
      <c r="C14" s="6" t="s">
        <v>19</v>
      </c>
      <c r="D14" s="6">
        <v>25</v>
      </c>
      <c r="E14" s="1"/>
      <c r="F14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4"/>
  <sheetViews>
    <sheetView zoomScale="175" zoomScaleNormal="175" workbookViewId="0">
      <selection activeCell="D2" sqref="D2"/>
    </sheetView>
  </sheetViews>
  <sheetFormatPr defaultRowHeight="15"/>
  <cols>
    <col min="3" max="3" width="10.28515625" customWidth="1"/>
  </cols>
  <sheetData>
    <row r="1" spans="1:9">
      <c r="A1" s="5" t="s">
        <v>0</v>
      </c>
      <c r="B1" s="5" t="s">
        <v>16</v>
      </c>
      <c r="C1" s="5" t="s">
        <v>17</v>
      </c>
      <c r="D1" s="5" t="s">
        <v>117</v>
      </c>
      <c r="E1" t="s">
        <v>20</v>
      </c>
      <c r="F1" s="5" t="s">
        <v>0</v>
      </c>
      <c r="G1" s="5" t="s">
        <v>16</v>
      </c>
      <c r="H1" s="5" t="s">
        <v>17</v>
      </c>
      <c r="I1" s="5" t="s">
        <v>1</v>
      </c>
    </row>
    <row r="2" spans="1:9">
      <c r="A2" s="6" t="s">
        <v>2</v>
      </c>
      <c r="B2" s="6" t="s">
        <v>18</v>
      </c>
      <c r="C2" s="6" t="s">
        <v>19</v>
      </c>
      <c r="D2" s="6">
        <v>78</v>
      </c>
      <c r="E2" s="9"/>
      <c r="F2" t="str" cm="1">
        <f t="array" ref="F2:I9">_xlfn._xlws.FILTER(A1:D14,D1:D14&gt;60)</f>
        <v>Salesman</v>
      </c>
      <c r="G2" t="str">
        <v>Zone</v>
      </c>
      <c r="H2" t="str">
        <v>CITY</v>
      </c>
      <c r="I2" t="str">
        <v>QTY</v>
      </c>
    </row>
    <row r="3" spans="1:9">
      <c r="A3" s="6" t="s">
        <v>3</v>
      </c>
      <c r="B3" s="6" t="s">
        <v>18</v>
      </c>
      <c r="C3" s="6" t="s">
        <v>20</v>
      </c>
      <c r="D3" s="6">
        <v>44</v>
      </c>
      <c r="F3" t="str">
        <v>Ajay</v>
      </c>
      <c r="G3" t="str">
        <v>East</v>
      </c>
      <c r="H3" t="str">
        <v>MUMBAI</v>
      </c>
      <c r="I3">
        <v>78</v>
      </c>
    </row>
    <row r="4" spans="1:9">
      <c r="A4" s="6" t="s">
        <v>4</v>
      </c>
      <c r="B4" s="6" t="s">
        <v>21</v>
      </c>
      <c r="C4" s="6" t="s">
        <v>19</v>
      </c>
      <c r="D4" s="6">
        <v>97</v>
      </c>
      <c r="F4" t="str">
        <v>Anil</v>
      </c>
      <c r="G4" t="str">
        <v>South</v>
      </c>
      <c r="H4" t="str">
        <v>MUMBAI</v>
      </c>
      <c r="I4">
        <v>97</v>
      </c>
    </row>
    <row r="5" spans="1:9">
      <c r="A5" s="6" t="s">
        <v>4</v>
      </c>
      <c r="B5" s="6" t="s">
        <v>21</v>
      </c>
      <c r="C5" s="6" t="s">
        <v>19</v>
      </c>
      <c r="D5" s="6">
        <v>98</v>
      </c>
      <c r="F5" t="str">
        <v>Anil</v>
      </c>
      <c r="G5" t="str">
        <v>South</v>
      </c>
      <c r="H5" t="str">
        <v>MUMBAI</v>
      </c>
      <c r="I5">
        <v>98</v>
      </c>
    </row>
    <row r="6" spans="1:9">
      <c r="A6" s="6" t="s">
        <v>4</v>
      </c>
      <c r="B6" s="6" t="s">
        <v>21</v>
      </c>
      <c r="C6" s="6" t="s">
        <v>19</v>
      </c>
      <c r="D6" s="6">
        <v>99</v>
      </c>
      <c r="F6" t="str">
        <v>Anil</v>
      </c>
      <c r="G6" t="str">
        <v>South</v>
      </c>
      <c r="H6" t="str">
        <v>MUMBAI</v>
      </c>
      <c r="I6">
        <v>99</v>
      </c>
    </row>
    <row r="7" spans="1:9">
      <c r="A7" s="6" t="s">
        <v>23</v>
      </c>
      <c r="B7" s="6" t="s">
        <v>22</v>
      </c>
      <c r="C7" s="6" t="s">
        <v>20</v>
      </c>
      <c r="D7" s="6">
        <v>47</v>
      </c>
      <c r="F7" t="str">
        <v>Shital</v>
      </c>
      <c r="G7" t="str">
        <v>North</v>
      </c>
      <c r="H7" t="str">
        <v>MUMBAI</v>
      </c>
      <c r="I7">
        <v>68</v>
      </c>
    </row>
    <row r="8" spans="1:9">
      <c r="A8" s="6" t="s">
        <v>24</v>
      </c>
      <c r="B8" s="6" t="s">
        <v>25</v>
      </c>
      <c r="C8" s="6" t="s">
        <v>19</v>
      </c>
      <c r="D8" s="6">
        <v>68</v>
      </c>
      <c r="F8" t="str">
        <v>Rajiv</v>
      </c>
      <c r="G8" t="str">
        <v>East</v>
      </c>
      <c r="H8" t="str">
        <v>MUMBAI</v>
      </c>
      <c r="I8">
        <v>63</v>
      </c>
    </row>
    <row r="9" spans="1:9">
      <c r="A9" s="6" t="s">
        <v>26</v>
      </c>
      <c r="B9" s="6" t="s">
        <v>22</v>
      </c>
      <c r="C9" s="6" t="s">
        <v>20</v>
      </c>
      <c r="D9" s="6">
        <v>21</v>
      </c>
      <c r="F9" t="str">
        <v>Shantnu</v>
      </c>
      <c r="G9" t="str">
        <v>North</v>
      </c>
      <c r="H9" t="str">
        <v>PUNE</v>
      </c>
      <c r="I9">
        <v>98</v>
      </c>
    </row>
    <row r="10" spans="1:9">
      <c r="A10" s="6" t="s">
        <v>27</v>
      </c>
      <c r="B10" s="6" t="s">
        <v>18</v>
      </c>
      <c r="C10" s="6" t="s">
        <v>19</v>
      </c>
      <c r="D10" s="6">
        <v>63</v>
      </c>
    </row>
    <row r="11" spans="1:9">
      <c r="A11" s="6" t="s">
        <v>28</v>
      </c>
      <c r="B11" s="6" t="s">
        <v>22</v>
      </c>
      <c r="C11" s="6" t="s">
        <v>20</v>
      </c>
      <c r="D11" s="6">
        <v>25</v>
      </c>
    </row>
    <row r="12" spans="1:9">
      <c r="A12" s="6" t="s">
        <v>29</v>
      </c>
      <c r="B12" s="6" t="s">
        <v>25</v>
      </c>
      <c r="C12" s="6" t="s">
        <v>19</v>
      </c>
      <c r="D12" s="6">
        <v>36</v>
      </c>
    </row>
    <row r="13" spans="1:9">
      <c r="A13" s="6" t="s">
        <v>30</v>
      </c>
      <c r="B13" s="6" t="s">
        <v>25</v>
      </c>
      <c r="C13" s="6" t="s">
        <v>20</v>
      </c>
      <c r="D13" s="6">
        <v>98</v>
      </c>
    </row>
    <row r="14" spans="1:9">
      <c r="A14" s="6" t="s">
        <v>31</v>
      </c>
      <c r="B14" s="6" t="s">
        <v>18</v>
      </c>
      <c r="C14" s="6" t="s">
        <v>19</v>
      </c>
      <c r="D14" s="6">
        <v>25</v>
      </c>
    </row>
  </sheetData>
  <dataValidations count="2">
    <dataValidation type="list" allowBlank="1" showInputMessage="1" showErrorMessage="1" sqref="E1">
      <formula1>$C$2:$C$3</formula1>
    </dataValidation>
    <dataValidation type="list" allowBlank="1" showInputMessage="1" showErrorMessage="1" sqref="E6">
      <formula1>"MUMBAI, PUNE"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N1000"/>
  <sheetViews>
    <sheetView topLeftCell="A8" zoomScale="145" zoomScaleNormal="145" workbookViewId="0">
      <selection activeCell="G9" sqref="G9"/>
    </sheetView>
  </sheetViews>
  <sheetFormatPr defaultRowHeight="15"/>
  <cols>
    <col min="6" max="6" width="10.42578125" customWidth="1"/>
  </cols>
  <sheetData>
    <row r="1" spans="1:14">
      <c r="A1" s="5" t="s">
        <v>0</v>
      </c>
      <c r="B1" s="5" t="s">
        <v>16</v>
      </c>
      <c r="C1" s="5" t="s">
        <v>17</v>
      </c>
      <c r="D1" s="5" t="s">
        <v>1</v>
      </c>
      <c r="E1" s="1"/>
      <c r="F1" s="5" t="s">
        <v>0</v>
      </c>
      <c r="G1" s="5" t="s">
        <v>16</v>
      </c>
      <c r="H1" s="5" t="s">
        <v>17</v>
      </c>
      <c r="I1" s="5" t="s">
        <v>1</v>
      </c>
      <c r="K1" t="str" cm="1">
        <f t="array" ref="K1:N17">_xlfn._xlws.SORT(A1:D17,1,1,1)</f>
        <v>CITY</v>
      </c>
      <c r="L1" t="str">
        <v>Qty</v>
      </c>
      <c r="M1" t="str">
        <v>Salesman</v>
      </c>
      <c r="N1" t="str">
        <v>Zone</v>
      </c>
    </row>
    <row r="2" spans="1:14">
      <c r="A2" s="6" t="s">
        <v>2</v>
      </c>
      <c r="B2" s="6" t="s">
        <v>18</v>
      </c>
      <c r="C2" s="6" t="s">
        <v>19</v>
      </c>
      <c r="D2" s="6">
        <v>78</v>
      </c>
      <c r="E2" s="1"/>
      <c r="F2" t="str" cm="1">
        <f t="array" ref="F2:I17">_xlfn._xlws.SORT(A2:D17,4,-1,0)</f>
        <v>Anil</v>
      </c>
      <c r="G2" t="str">
        <v>South</v>
      </c>
      <c r="H2" t="str">
        <v>MUMBAI</v>
      </c>
      <c r="I2">
        <v>100</v>
      </c>
      <c r="K2" t="str">
        <v>MUMBAI</v>
      </c>
      <c r="L2">
        <v>78</v>
      </c>
      <c r="M2" t="str">
        <v>Ajay</v>
      </c>
      <c r="N2" t="str">
        <v>East</v>
      </c>
    </row>
    <row r="3" spans="1:14">
      <c r="A3" s="6" t="s">
        <v>3</v>
      </c>
      <c r="B3" s="6" t="s">
        <v>18</v>
      </c>
      <c r="C3" s="6" t="s">
        <v>20</v>
      </c>
      <c r="D3" s="6">
        <v>99</v>
      </c>
      <c r="E3" s="1"/>
      <c r="F3" t="str">
        <v>Vikas</v>
      </c>
      <c r="G3" t="str">
        <v>East</v>
      </c>
      <c r="H3" t="str">
        <v>PUNE</v>
      </c>
      <c r="I3">
        <v>99</v>
      </c>
      <c r="K3" t="str">
        <v>PUNE</v>
      </c>
      <c r="L3">
        <v>99</v>
      </c>
      <c r="M3" t="str">
        <v>Vikas</v>
      </c>
      <c r="N3" t="str">
        <v>East</v>
      </c>
    </row>
    <row r="4" spans="1:14">
      <c r="A4" s="6" t="s">
        <v>4</v>
      </c>
      <c r="B4" s="6" t="s">
        <v>21</v>
      </c>
      <c r="C4" s="6" t="s">
        <v>19</v>
      </c>
      <c r="D4" s="6">
        <v>100</v>
      </c>
      <c r="E4" s="1"/>
      <c r="F4" t="str">
        <v>Anil</v>
      </c>
      <c r="G4" t="str">
        <v>South</v>
      </c>
      <c r="H4" t="str">
        <v>MUMBAI</v>
      </c>
      <c r="I4">
        <v>98</v>
      </c>
      <c r="K4" t="str">
        <v>MUMBAI</v>
      </c>
      <c r="L4">
        <v>100</v>
      </c>
      <c r="M4" t="str">
        <v>Anil</v>
      </c>
      <c r="N4" t="str">
        <v>South</v>
      </c>
    </row>
    <row r="5" spans="1:14">
      <c r="A5" s="6" t="s">
        <v>4</v>
      </c>
      <c r="B5" s="6" t="s">
        <v>21</v>
      </c>
      <c r="C5" s="6" t="s">
        <v>19</v>
      </c>
      <c r="D5" s="6">
        <v>98</v>
      </c>
      <c r="E5" s="1"/>
      <c r="F5" t="str">
        <v>Shantnu</v>
      </c>
      <c r="G5" t="str">
        <v>North</v>
      </c>
      <c r="H5" t="str">
        <v>PUNE</v>
      </c>
      <c r="I5">
        <v>98</v>
      </c>
      <c r="K5" t="str">
        <v>MUMBAI</v>
      </c>
      <c r="L5">
        <v>98</v>
      </c>
      <c r="M5" t="str">
        <v>Anil</v>
      </c>
      <c r="N5" t="str">
        <v>South</v>
      </c>
    </row>
    <row r="6" spans="1:14">
      <c r="A6" s="6" t="s">
        <v>4</v>
      </c>
      <c r="B6" s="6" t="s">
        <v>21</v>
      </c>
      <c r="C6" s="6" t="s">
        <v>19</v>
      </c>
      <c r="D6" s="6">
        <v>52</v>
      </c>
      <c r="E6" s="1"/>
      <c r="F6" t="str">
        <v>Ajay</v>
      </c>
      <c r="G6" t="str">
        <v>East</v>
      </c>
      <c r="H6" t="str">
        <v>MUMBAI</v>
      </c>
      <c r="I6">
        <v>78</v>
      </c>
      <c r="K6" t="str">
        <v>MUMBAI</v>
      </c>
      <c r="L6">
        <v>52</v>
      </c>
      <c r="M6" t="str">
        <v>Anil</v>
      </c>
      <c r="N6" t="str">
        <v>South</v>
      </c>
    </row>
    <row r="7" spans="1:14">
      <c r="A7" s="6" t="s">
        <v>23</v>
      </c>
      <c r="B7" s="6" t="s">
        <v>22</v>
      </c>
      <c r="C7" s="6" t="s">
        <v>20</v>
      </c>
      <c r="D7" s="6">
        <v>47</v>
      </c>
      <c r="E7" s="1"/>
      <c r="F7" t="str">
        <v>Shital</v>
      </c>
      <c r="G7" t="str">
        <v>North</v>
      </c>
      <c r="H7" t="str">
        <v>MUMBAI</v>
      </c>
      <c r="I7">
        <v>68</v>
      </c>
      <c r="K7" t="str">
        <v>PUNE</v>
      </c>
      <c r="L7">
        <v>47</v>
      </c>
      <c r="M7" t="str">
        <v>Anvi</v>
      </c>
      <c r="N7" t="str">
        <v>West</v>
      </c>
    </row>
    <row r="8" spans="1:14">
      <c r="A8" s="6" t="s">
        <v>24</v>
      </c>
      <c r="B8" s="6" t="s">
        <v>25</v>
      </c>
      <c r="C8" s="6" t="s">
        <v>19</v>
      </c>
      <c r="D8" s="6">
        <v>68</v>
      </c>
      <c r="E8" s="1"/>
      <c r="F8" t="str">
        <v>Rajiv</v>
      </c>
      <c r="G8" t="str">
        <v>East</v>
      </c>
      <c r="H8" t="str">
        <v>MUMBAI</v>
      </c>
      <c r="I8">
        <v>63</v>
      </c>
      <c r="K8" t="str">
        <v>MUMBAI</v>
      </c>
      <c r="L8">
        <v>68</v>
      </c>
      <c r="M8" t="str">
        <v>Shital</v>
      </c>
      <c r="N8" t="str">
        <v>North</v>
      </c>
    </row>
    <row r="9" spans="1:14">
      <c r="A9" s="6" t="s">
        <v>26</v>
      </c>
      <c r="B9" s="6" t="s">
        <v>22</v>
      </c>
      <c r="C9" s="6" t="s">
        <v>20</v>
      </c>
      <c r="D9" s="6">
        <v>21</v>
      </c>
      <c r="E9" s="1"/>
      <c r="F9" t="str">
        <v>Anil</v>
      </c>
      <c r="G9" t="str">
        <v>South</v>
      </c>
      <c r="H9" t="str">
        <v>MUMBAI</v>
      </c>
      <c r="I9">
        <v>52</v>
      </c>
      <c r="K9" t="str">
        <v>PUNE</v>
      </c>
      <c r="L9">
        <v>21</v>
      </c>
      <c r="M9" t="str">
        <v>Priya</v>
      </c>
      <c r="N9" t="str">
        <v>West</v>
      </c>
    </row>
    <row r="10" spans="1:14">
      <c r="A10" s="6" t="s">
        <v>27</v>
      </c>
      <c r="B10" s="6" t="s">
        <v>18</v>
      </c>
      <c r="C10" s="6" t="s">
        <v>19</v>
      </c>
      <c r="D10" s="6">
        <v>63</v>
      </c>
      <c r="E10" s="1"/>
      <c r="F10" t="str">
        <v>Anvi</v>
      </c>
      <c r="G10" t="str">
        <v>West</v>
      </c>
      <c r="H10" t="str">
        <v>PUNE</v>
      </c>
      <c r="I10">
        <v>47</v>
      </c>
      <c r="K10" t="str">
        <v>MUMBAI</v>
      </c>
      <c r="L10">
        <v>63</v>
      </c>
      <c r="M10" t="str">
        <v>Rajiv</v>
      </c>
      <c r="N10" t="str">
        <v>East</v>
      </c>
    </row>
    <row r="11" spans="1:14">
      <c r="A11" s="6" t="s">
        <v>28</v>
      </c>
      <c r="B11" s="6" t="s">
        <v>22</v>
      </c>
      <c r="C11" s="6" t="s">
        <v>20</v>
      </c>
      <c r="D11" s="6">
        <v>25</v>
      </c>
      <c r="E11" s="1"/>
      <c r="F11" t="str">
        <v>Ram</v>
      </c>
      <c r="G11" t="str">
        <v>North</v>
      </c>
      <c r="H11" t="str">
        <v>MUMBAI</v>
      </c>
      <c r="I11">
        <v>36</v>
      </c>
      <c r="K11" t="str">
        <v>PUNE</v>
      </c>
      <c r="L11">
        <v>25</v>
      </c>
      <c r="M11" t="str">
        <v>Sandeep</v>
      </c>
      <c r="N11" t="str">
        <v>West</v>
      </c>
    </row>
    <row r="12" spans="1:14">
      <c r="A12" s="6" t="s">
        <v>29</v>
      </c>
      <c r="B12" s="6" t="s">
        <v>25</v>
      </c>
      <c r="C12" s="6" t="s">
        <v>19</v>
      </c>
      <c r="D12" s="6">
        <v>36</v>
      </c>
      <c r="E12" s="1"/>
      <c r="F12" t="str">
        <v>Ramraje</v>
      </c>
      <c r="G12" t="str">
        <v>East</v>
      </c>
      <c r="H12" t="str">
        <v>MUMBAI</v>
      </c>
      <c r="I12">
        <v>28</v>
      </c>
      <c r="K12" t="str">
        <v>MUMBAI</v>
      </c>
      <c r="L12">
        <v>36</v>
      </c>
      <c r="M12" t="str">
        <v>Ram</v>
      </c>
      <c r="N12" t="str">
        <v>North</v>
      </c>
    </row>
    <row r="13" spans="1:14">
      <c r="A13" s="6" t="s">
        <v>30</v>
      </c>
      <c r="B13" s="6" t="s">
        <v>25</v>
      </c>
      <c r="C13" s="6" t="s">
        <v>20</v>
      </c>
      <c r="D13" s="6">
        <v>98</v>
      </c>
      <c r="E13" s="1"/>
      <c r="F13" t="str">
        <v>Ramraje</v>
      </c>
      <c r="G13" t="str">
        <v>East</v>
      </c>
      <c r="H13" t="str">
        <v>MUMBAI</v>
      </c>
      <c r="I13">
        <v>27</v>
      </c>
      <c r="K13" t="str">
        <v>PUNE</v>
      </c>
      <c r="L13">
        <v>98</v>
      </c>
      <c r="M13" t="str">
        <v>Shantnu</v>
      </c>
      <c r="N13" t="str">
        <v>North</v>
      </c>
    </row>
    <row r="14" spans="1:14">
      <c r="A14" s="6" t="s">
        <v>31</v>
      </c>
      <c r="B14" s="6" t="s">
        <v>18</v>
      </c>
      <c r="C14" s="6" t="s">
        <v>19</v>
      </c>
      <c r="D14" s="6">
        <v>25</v>
      </c>
      <c r="E14" s="1"/>
      <c r="F14" t="str">
        <v>aKASH</v>
      </c>
      <c r="G14" t="str">
        <v>West</v>
      </c>
      <c r="H14" t="str">
        <v>MUMBAI</v>
      </c>
      <c r="I14">
        <v>26</v>
      </c>
      <c r="K14" t="str">
        <v>MUMBAI</v>
      </c>
      <c r="L14">
        <v>25</v>
      </c>
      <c r="M14" t="str">
        <v>Ramraje</v>
      </c>
      <c r="N14" t="str">
        <v>East</v>
      </c>
    </row>
    <row r="15" spans="1:14">
      <c r="A15" s="6" t="s">
        <v>50</v>
      </c>
      <c r="B15" s="6" t="s">
        <v>22</v>
      </c>
      <c r="C15" s="6" t="s">
        <v>19</v>
      </c>
      <c r="D15" s="6">
        <v>26</v>
      </c>
      <c r="E15" s="1"/>
      <c r="F15" t="str">
        <v>Sandeep</v>
      </c>
      <c r="G15" t="str">
        <v>West</v>
      </c>
      <c r="H15" t="str">
        <v>PUNE</v>
      </c>
      <c r="I15">
        <v>25</v>
      </c>
      <c r="K15" t="str">
        <v>MUMBAI</v>
      </c>
      <c r="L15">
        <v>26</v>
      </c>
      <c r="M15" t="str">
        <v>aKASH</v>
      </c>
      <c r="N15" t="str">
        <v>West</v>
      </c>
    </row>
    <row r="16" spans="1:14">
      <c r="A16" s="6" t="s">
        <v>31</v>
      </c>
      <c r="B16" s="6" t="s">
        <v>18</v>
      </c>
      <c r="C16" s="6" t="s">
        <v>19</v>
      </c>
      <c r="D16" s="6">
        <v>27</v>
      </c>
      <c r="E16" s="1"/>
      <c r="F16" t="str">
        <v>Ramraje</v>
      </c>
      <c r="G16" t="str">
        <v>East</v>
      </c>
      <c r="H16" t="str">
        <v>MUMBAI</v>
      </c>
      <c r="I16">
        <v>25</v>
      </c>
      <c r="K16" t="str">
        <v>MUMBAI</v>
      </c>
      <c r="L16">
        <v>27</v>
      </c>
      <c r="M16" t="str">
        <v>Ramraje</v>
      </c>
      <c r="N16" t="str">
        <v>East</v>
      </c>
    </row>
    <row r="17" spans="1:14">
      <c r="A17" s="6" t="s">
        <v>31</v>
      </c>
      <c r="B17" s="6" t="s">
        <v>18</v>
      </c>
      <c r="C17" s="6" t="s">
        <v>19</v>
      </c>
      <c r="D17" s="6">
        <v>28</v>
      </c>
      <c r="E17" s="1"/>
      <c r="F17" t="str">
        <v>Priya</v>
      </c>
      <c r="G17" t="str">
        <v>West</v>
      </c>
      <c r="H17" t="str">
        <v>PUNE</v>
      </c>
      <c r="I17">
        <v>21</v>
      </c>
      <c r="K17" t="str">
        <v>MUMBAI</v>
      </c>
      <c r="L17">
        <v>28</v>
      </c>
      <c r="M17" t="str">
        <v>Ramraje</v>
      </c>
      <c r="N17" t="str">
        <v>East</v>
      </c>
    </row>
    <row r="18" spans="1:14">
      <c r="A18" s="1"/>
      <c r="B18" s="1"/>
      <c r="C18" s="1"/>
      <c r="D18" s="1"/>
      <c r="E18" s="1"/>
    </row>
    <row r="19" spans="1:14">
      <c r="A19" s="1"/>
      <c r="B19" s="1"/>
      <c r="C19" s="1"/>
      <c r="D19" s="1"/>
      <c r="E19" s="1"/>
    </row>
    <row r="20" spans="1:14">
      <c r="A20" s="1"/>
      <c r="B20" s="1"/>
      <c r="C20" s="1"/>
      <c r="D20" s="1"/>
      <c r="E20" s="1"/>
    </row>
    <row r="21" spans="1:14">
      <c r="A21" s="1"/>
      <c r="B21" s="1"/>
      <c r="C21" s="1"/>
      <c r="D21" s="1"/>
      <c r="E21" s="1"/>
    </row>
    <row r="22" spans="1:14">
      <c r="A22" s="1"/>
      <c r="B22" s="1"/>
      <c r="C22" s="1"/>
      <c r="D22" s="1"/>
      <c r="E22" s="1"/>
    </row>
    <row r="23" spans="1:14">
      <c r="A23" s="1"/>
      <c r="B23" s="1"/>
      <c r="C23" s="1"/>
      <c r="D23" s="1"/>
      <c r="E23" s="1"/>
    </row>
    <row r="24" spans="1:14">
      <c r="A24" s="1"/>
      <c r="B24" s="1"/>
      <c r="C24" s="1"/>
      <c r="D24" s="1"/>
      <c r="E24" s="1"/>
    </row>
    <row r="25" spans="1:14">
      <c r="A25" s="1"/>
      <c r="B25" s="1"/>
      <c r="C25" s="1"/>
      <c r="D25" s="1"/>
      <c r="E25" s="1"/>
    </row>
    <row r="26" spans="1:14">
      <c r="A26" s="1"/>
      <c r="B26" s="1"/>
      <c r="C26" s="1"/>
      <c r="D26" s="1"/>
      <c r="E26" s="1"/>
    </row>
    <row r="27" spans="1:14">
      <c r="A27" s="1"/>
      <c r="B27" s="1"/>
      <c r="C27" s="1"/>
      <c r="D27" s="1"/>
      <c r="E27" s="1"/>
    </row>
    <row r="28" spans="1:14">
      <c r="A28" s="1"/>
      <c r="B28" s="1"/>
      <c r="C28" s="1"/>
      <c r="D28" s="1"/>
      <c r="E28" s="1"/>
    </row>
    <row r="29" spans="1:14">
      <c r="A29" s="1"/>
      <c r="B29" s="1"/>
      <c r="C29" s="1"/>
      <c r="D29" s="1"/>
      <c r="E29" s="1"/>
    </row>
    <row r="30" spans="1:14">
      <c r="A30" s="1"/>
      <c r="B30" s="1"/>
      <c r="C30" s="1"/>
      <c r="D30" s="1"/>
      <c r="E30" s="1"/>
    </row>
    <row r="31" spans="1:14">
      <c r="A31" s="1"/>
      <c r="B31" s="1"/>
      <c r="C31" s="1"/>
      <c r="D31" s="1"/>
      <c r="E31" s="1"/>
    </row>
    <row r="32" spans="1:14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  <row r="101" spans="1:5">
      <c r="A101" s="1"/>
      <c r="B101" s="1"/>
      <c r="C101" s="1"/>
      <c r="D101" s="1"/>
      <c r="E101" s="1"/>
    </row>
    <row r="102" spans="1:5">
      <c r="A102" s="1"/>
      <c r="B102" s="1"/>
      <c r="C102" s="1"/>
      <c r="D102" s="1"/>
      <c r="E102" s="1"/>
    </row>
    <row r="103" spans="1:5">
      <c r="A103" s="1"/>
      <c r="B103" s="1"/>
      <c r="C103" s="1"/>
      <c r="D103" s="1"/>
      <c r="E103" s="1"/>
    </row>
    <row r="104" spans="1:5">
      <c r="A104" s="1"/>
      <c r="B104" s="1"/>
      <c r="C104" s="1"/>
      <c r="D104" s="1"/>
      <c r="E104" s="1"/>
    </row>
    <row r="105" spans="1:5">
      <c r="A105" s="1"/>
      <c r="B105" s="1"/>
      <c r="C105" s="1"/>
      <c r="D105" s="1"/>
      <c r="E105" s="1"/>
    </row>
    <row r="106" spans="1:5">
      <c r="A106" s="1"/>
      <c r="B106" s="1"/>
      <c r="C106" s="1"/>
      <c r="D106" s="1"/>
      <c r="E106" s="1"/>
    </row>
    <row r="107" spans="1:5">
      <c r="A107" s="1"/>
      <c r="B107" s="1"/>
      <c r="C107" s="1"/>
      <c r="D107" s="1"/>
      <c r="E107" s="1"/>
    </row>
    <row r="108" spans="1:5">
      <c r="A108" s="1"/>
      <c r="B108" s="1"/>
      <c r="C108" s="1"/>
      <c r="D108" s="1"/>
      <c r="E108" s="1"/>
    </row>
    <row r="109" spans="1:5">
      <c r="A109" s="1"/>
      <c r="B109" s="1"/>
      <c r="C109" s="1"/>
      <c r="D109" s="1"/>
      <c r="E109" s="1"/>
    </row>
    <row r="110" spans="1:5">
      <c r="A110" s="1"/>
      <c r="B110" s="1"/>
      <c r="C110" s="1"/>
      <c r="D110" s="1"/>
      <c r="E110" s="1"/>
    </row>
    <row r="111" spans="1:5">
      <c r="A111" s="1"/>
      <c r="B111" s="1"/>
      <c r="C111" s="1"/>
      <c r="D111" s="1"/>
      <c r="E111" s="1"/>
    </row>
    <row r="112" spans="1:5">
      <c r="A112" s="1"/>
      <c r="B112" s="1"/>
      <c r="C112" s="1"/>
      <c r="D112" s="1"/>
      <c r="E112" s="1"/>
    </row>
    <row r="113" spans="1:5">
      <c r="A113" s="1"/>
      <c r="B113" s="1"/>
      <c r="C113" s="1"/>
      <c r="D113" s="1"/>
      <c r="E113" s="1"/>
    </row>
    <row r="114" spans="1:5">
      <c r="A114" s="1"/>
      <c r="B114" s="1"/>
      <c r="C114" s="1"/>
      <c r="D114" s="1"/>
      <c r="E114" s="1"/>
    </row>
    <row r="115" spans="1:5">
      <c r="A115" s="1"/>
      <c r="B115" s="1"/>
      <c r="C115" s="1"/>
      <c r="D115" s="1"/>
      <c r="E115" s="1"/>
    </row>
    <row r="116" spans="1:5">
      <c r="A116" s="1"/>
      <c r="B116" s="1"/>
      <c r="C116" s="1"/>
      <c r="D116" s="1"/>
      <c r="E116" s="1"/>
    </row>
    <row r="117" spans="1:5">
      <c r="A117" s="1"/>
      <c r="B117" s="1"/>
      <c r="C117" s="1"/>
      <c r="D117" s="1"/>
      <c r="E117" s="1"/>
    </row>
    <row r="118" spans="1:5">
      <c r="A118" s="1"/>
      <c r="B118" s="1"/>
      <c r="C118" s="1"/>
      <c r="D118" s="1"/>
      <c r="E118" s="1"/>
    </row>
    <row r="119" spans="1:5">
      <c r="A119" s="1"/>
      <c r="B119" s="1"/>
      <c r="C119" s="1"/>
      <c r="D119" s="1"/>
      <c r="E119" s="1"/>
    </row>
    <row r="120" spans="1:5">
      <c r="A120" s="1"/>
      <c r="B120" s="1"/>
      <c r="C120" s="1"/>
      <c r="D120" s="1"/>
      <c r="E120" s="1"/>
    </row>
    <row r="121" spans="1:5">
      <c r="A121" s="1"/>
      <c r="B121" s="1"/>
      <c r="C121" s="1"/>
      <c r="D121" s="1"/>
      <c r="E121" s="1"/>
    </row>
    <row r="122" spans="1:5">
      <c r="A122" s="1"/>
      <c r="B122" s="1"/>
      <c r="C122" s="1"/>
      <c r="D122" s="1"/>
      <c r="E122" s="1"/>
    </row>
    <row r="123" spans="1:5">
      <c r="A123" s="1"/>
      <c r="B123" s="1"/>
      <c r="C123" s="1"/>
      <c r="D123" s="1"/>
      <c r="E123" s="1"/>
    </row>
    <row r="124" spans="1:5">
      <c r="A124" s="1"/>
      <c r="B124" s="1"/>
      <c r="C124" s="1"/>
      <c r="D124" s="1"/>
      <c r="E124" s="1"/>
    </row>
    <row r="125" spans="1:5">
      <c r="A125" s="1"/>
      <c r="B125" s="1"/>
      <c r="C125" s="1"/>
      <c r="D125" s="1"/>
      <c r="E125" s="1"/>
    </row>
    <row r="126" spans="1:5">
      <c r="A126" s="1"/>
      <c r="B126" s="1"/>
      <c r="C126" s="1"/>
      <c r="D126" s="1"/>
      <c r="E126" s="1"/>
    </row>
    <row r="127" spans="1:5">
      <c r="A127" s="1"/>
      <c r="B127" s="1"/>
      <c r="C127" s="1"/>
      <c r="D127" s="1"/>
      <c r="E127" s="1"/>
    </row>
    <row r="128" spans="1:5">
      <c r="A128" s="1"/>
      <c r="B128" s="1"/>
      <c r="C128" s="1"/>
      <c r="D128" s="1"/>
      <c r="E128" s="1"/>
    </row>
    <row r="129" spans="1:5">
      <c r="A129" s="1"/>
      <c r="B129" s="1"/>
      <c r="C129" s="1"/>
      <c r="D129" s="1"/>
      <c r="E129" s="1"/>
    </row>
    <row r="130" spans="1:5">
      <c r="A130" s="1"/>
      <c r="B130" s="1"/>
      <c r="C130" s="1"/>
      <c r="D130" s="1"/>
      <c r="E130" s="1"/>
    </row>
    <row r="131" spans="1:5">
      <c r="A131" s="1"/>
      <c r="B131" s="1"/>
      <c r="C131" s="1"/>
      <c r="D131" s="1"/>
      <c r="E131" s="1"/>
    </row>
    <row r="132" spans="1:5">
      <c r="A132" s="1"/>
      <c r="B132" s="1"/>
      <c r="C132" s="1"/>
      <c r="D132" s="1"/>
      <c r="E132" s="1"/>
    </row>
    <row r="133" spans="1:5">
      <c r="A133" s="1"/>
      <c r="B133" s="1"/>
      <c r="C133" s="1"/>
      <c r="D133" s="1"/>
      <c r="E133" s="1"/>
    </row>
    <row r="134" spans="1:5">
      <c r="A134" s="1"/>
      <c r="B134" s="1"/>
      <c r="C134" s="1"/>
      <c r="D134" s="1"/>
      <c r="E134" s="1"/>
    </row>
    <row r="135" spans="1:5">
      <c r="A135" s="1"/>
      <c r="B135" s="1"/>
      <c r="C135" s="1"/>
      <c r="D135" s="1"/>
      <c r="E135" s="1"/>
    </row>
    <row r="136" spans="1:5">
      <c r="A136" s="1"/>
      <c r="B136" s="1"/>
      <c r="C136" s="1"/>
      <c r="D136" s="1"/>
      <c r="E136" s="1"/>
    </row>
    <row r="137" spans="1:5">
      <c r="A137" s="1"/>
      <c r="B137" s="1"/>
      <c r="C137" s="1"/>
      <c r="D137" s="1"/>
      <c r="E137" s="1"/>
    </row>
    <row r="138" spans="1:5">
      <c r="A138" s="1"/>
      <c r="B138" s="1"/>
      <c r="C138" s="1"/>
      <c r="D138" s="1"/>
      <c r="E138" s="1"/>
    </row>
    <row r="139" spans="1:5">
      <c r="A139" s="1"/>
      <c r="B139" s="1"/>
      <c r="C139" s="1"/>
      <c r="D139" s="1"/>
      <c r="E139" s="1"/>
    </row>
    <row r="140" spans="1:5">
      <c r="A140" s="1"/>
      <c r="B140" s="1"/>
      <c r="C140" s="1"/>
      <c r="D140" s="1"/>
      <c r="E140" s="1"/>
    </row>
    <row r="141" spans="1:5">
      <c r="A141" s="1"/>
      <c r="B141" s="1"/>
      <c r="C141" s="1"/>
      <c r="D141" s="1"/>
      <c r="E141" s="1"/>
    </row>
    <row r="142" spans="1:5">
      <c r="A142" s="1"/>
      <c r="B142" s="1"/>
      <c r="C142" s="1"/>
      <c r="D142" s="1"/>
      <c r="E142" s="1"/>
    </row>
    <row r="143" spans="1:5">
      <c r="A143" s="1"/>
      <c r="B143" s="1"/>
      <c r="C143" s="1"/>
      <c r="D143" s="1"/>
      <c r="E143" s="1"/>
    </row>
    <row r="144" spans="1:5">
      <c r="A144" s="1"/>
      <c r="B144" s="1"/>
      <c r="C144" s="1"/>
      <c r="D144" s="1"/>
      <c r="E144" s="1"/>
    </row>
    <row r="145" spans="1:5">
      <c r="A145" s="1"/>
      <c r="B145" s="1"/>
      <c r="C145" s="1"/>
      <c r="D145" s="1"/>
      <c r="E145" s="1"/>
    </row>
    <row r="146" spans="1:5">
      <c r="A146" s="1"/>
      <c r="B146" s="1"/>
      <c r="C146" s="1"/>
      <c r="D146" s="1"/>
      <c r="E146" s="1"/>
    </row>
    <row r="147" spans="1:5">
      <c r="A147" s="1"/>
      <c r="B147" s="1"/>
      <c r="C147" s="1"/>
      <c r="D147" s="1"/>
      <c r="E147" s="1"/>
    </row>
    <row r="148" spans="1:5">
      <c r="A148" s="1"/>
      <c r="B148" s="1"/>
      <c r="C148" s="1"/>
      <c r="D148" s="1"/>
      <c r="E148" s="1"/>
    </row>
    <row r="149" spans="1:5">
      <c r="A149" s="1"/>
      <c r="B149" s="1"/>
      <c r="C149" s="1"/>
      <c r="D149" s="1"/>
      <c r="E149" s="1"/>
    </row>
    <row r="150" spans="1:5">
      <c r="A150" s="1"/>
      <c r="B150" s="1"/>
      <c r="C150" s="1"/>
      <c r="D150" s="1"/>
      <c r="E150" s="1"/>
    </row>
    <row r="151" spans="1:5">
      <c r="A151" s="1"/>
      <c r="B151" s="1"/>
      <c r="C151" s="1"/>
      <c r="D151" s="1"/>
      <c r="E151" s="1"/>
    </row>
    <row r="152" spans="1:5">
      <c r="A152" s="1"/>
      <c r="B152" s="1"/>
      <c r="C152" s="1"/>
      <c r="D152" s="1"/>
      <c r="E152" s="1"/>
    </row>
    <row r="153" spans="1:5">
      <c r="A153" s="1"/>
      <c r="B153" s="1"/>
      <c r="C153" s="1"/>
      <c r="D153" s="1"/>
      <c r="E153" s="1"/>
    </row>
    <row r="154" spans="1:5">
      <c r="A154" s="1"/>
      <c r="B154" s="1"/>
      <c r="C154" s="1"/>
      <c r="D154" s="1"/>
      <c r="E154" s="1"/>
    </row>
    <row r="155" spans="1:5">
      <c r="A155" s="1"/>
      <c r="B155" s="1"/>
      <c r="C155" s="1"/>
      <c r="D155" s="1"/>
      <c r="E155" s="1"/>
    </row>
    <row r="156" spans="1:5">
      <c r="A156" s="1"/>
      <c r="B156" s="1"/>
      <c r="C156" s="1"/>
      <c r="D156" s="1"/>
      <c r="E156" s="1"/>
    </row>
    <row r="157" spans="1:5">
      <c r="A157" s="1"/>
      <c r="B157" s="1"/>
      <c r="C157" s="1"/>
      <c r="D157" s="1"/>
      <c r="E157" s="1"/>
    </row>
    <row r="158" spans="1:5">
      <c r="A158" s="1"/>
      <c r="B158" s="1"/>
      <c r="C158" s="1"/>
      <c r="D158" s="1"/>
      <c r="E158" s="1"/>
    </row>
    <row r="159" spans="1:5">
      <c r="A159" s="1"/>
      <c r="B159" s="1"/>
      <c r="C159" s="1"/>
      <c r="D159" s="1"/>
      <c r="E159" s="1"/>
    </row>
    <row r="160" spans="1:5">
      <c r="A160" s="1"/>
      <c r="B160" s="1"/>
      <c r="C160" s="1"/>
      <c r="D160" s="1"/>
      <c r="E160" s="1"/>
    </row>
    <row r="161" spans="1:5">
      <c r="A161" s="1"/>
      <c r="B161" s="1"/>
      <c r="C161" s="1"/>
      <c r="D161" s="1"/>
      <c r="E161" s="1"/>
    </row>
    <row r="162" spans="1:5">
      <c r="A162" s="1"/>
      <c r="B162" s="1"/>
      <c r="C162" s="1"/>
      <c r="D162" s="1"/>
      <c r="E162" s="1"/>
    </row>
    <row r="163" spans="1:5">
      <c r="A163" s="1"/>
      <c r="B163" s="1"/>
      <c r="C163" s="1"/>
      <c r="D163" s="1"/>
      <c r="E163" s="1"/>
    </row>
    <row r="164" spans="1:5">
      <c r="A164" s="1"/>
      <c r="B164" s="1"/>
      <c r="C164" s="1"/>
      <c r="D164" s="1"/>
      <c r="E164" s="1"/>
    </row>
    <row r="165" spans="1:5">
      <c r="A165" s="1"/>
      <c r="B165" s="1"/>
      <c r="C165" s="1"/>
      <c r="D165" s="1"/>
      <c r="E165" s="1"/>
    </row>
    <row r="166" spans="1:5">
      <c r="A166" s="1"/>
      <c r="B166" s="1"/>
      <c r="C166" s="1"/>
      <c r="D166" s="1"/>
      <c r="E166" s="1"/>
    </row>
    <row r="167" spans="1:5">
      <c r="A167" s="1"/>
      <c r="B167" s="1"/>
      <c r="C167" s="1"/>
      <c r="D167" s="1"/>
      <c r="E167" s="1"/>
    </row>
    <row r="168" spans="1:5">
      <c r="A168" s="1"/>
      <c r="B168" s="1"/>
      <c r="C168" s="1"/>
      <c r="D168" s="1"/>
      <c r="E168" s="1"/>
    </row>
    <row r="169" spans="1:5">
      <c r="A169" s="1"/>
      <c r="B169" s="1"/>
      <c r="C169" s="1"/>
      <c r="D169" s="1"/>
      <c r="E169" s="1"/>
    </row>
    <row r="170" spans="1:5">
      <c r="A170" s="1"/>
      <c r="B170" s="1"/>
      <c r="C170" s="1"/>
      <c r="D170" s="1"/>
      <c r="E170" s="1"/>
    </row>
    <row r="171" spans="1:5">
      <c r="A171" s="1"/>
      <c r="B171" s="1"/>
      <c r="C171" s="1"/>
      <c r="D171" s="1"/>
      <c r="E171" s="1"/>
    </row>
    <row r="172" spans="1:5">
      <c r="A172" s="1"/>
      <c r="B172" s="1"/>
      <c r="C172" s="1"/>
      <c r="D172" s="1"/>
      <c r="E172" s="1"/>
    </row>
    <row r="173" spans="1:5">
      <c r="A173" s="1"/>
      <c r="B173" s="1"/>
      <c r="C173" s="1"/>
      <c r="D173" s="1"/>
      <c r="E173" s="1"/>
    </row>
    <row r="174" spans="1:5">
      <c r="A174" s="1"/>
      <c r="B174" s="1"/>
      <c r="C174" s="1"/>
      <c r="D174" s="1"/>
      <c r="E174" s="1"/>
    </row>
    <row r="175" spans="1:5">
      <c r="A175" s="1"/>
      <c r="B175" s="1"/>
      <c r="C175" s="1"/>
      <c r="D175" s="1"/>
      <c r="E175" s="1"/>
    </row>
    <row r="176" spans="1:5">
      <c r="A176" s="1"/>
      <c r="B176" s="1"/>
      <c r="C176" s="1"/>
      <c r="D176" s="1"/>
      <c r="E176" s="1"/>
    </row>
    <row r="177" spans="1:5">
      <c r="A177" s="1"/>
      <c r="B177" s="1"/>
      <c r="C177" s="1"/>
      <c r="D177" s="1"/>
      <c r="E177" s="1"/>
    </row>
    <row r="178" spans="1:5">
      <c r="A178" s="1"/>
      <c r="B178" s="1"/>
      <c r="C178" s="1"/>
      <c r="D178" s="1"/>
      <c r="E178" s="1"/>
    </row>
    <row r="179" spans="1:5">
      <c r="A179" s="1"/>
      <c r="B179" s="1"/>
      <c r="C179" s="1"/>
      <c r="D179" s="1"/>
      <c r="E179" s="1"/>
    </row>
    <row r="180" spans="1:5">
      <c r="A180" s="1"/>
      <c r="B180" s="1"/>
      <c r="C180" s="1"/>
      <c r="D180" s="1"/>
      <c r="E180" s="1"/>
    </row>
    <row r="181" spans="1:5">
      <c r="A181" s="1"/>
      <c r="B181" s="1"/>
      <c r="C181" s="1"/>
      <c r="D181" s="1"/>
      <c r="E181" s="1"/>
    </row>
    <row r="182" spans="1:5">
      <c r="A182" s="1"/>
      <c r="B182" s="1"/>
      <c r="C182" s="1"/>
      <c r="D182" s="1"/>
      <c r="E182" s="1"/>
    </row>
    <row r="183" spans="1:5">
      <c r="A183" s="1"/>
      <c r="B183" s="1"/>
      <c r="C183" s="1"/>
      <c r="D183" s="1"/>
      <c r="E183" s="1"/>
    </row>
    <row r="184" spans="1:5">
      <c r="A184" s="1"/>
      <c r="B184" s="1"/>
      <c r="C184" s="1"/>
      <c r="D184" s="1"/>
      <c r="E184" s="1"/>
    </row>
    <row r="185" spans="1:5">
      <c r="A185" s="1"/>
      <c r="B185" s="1"/>
      <c r="C185" s="1"/>
      <c r="D185" s="1"/>
      <c r="E185" s="1"/>
    </row>
    <row r="186" spans="1:5">
      <c r="A186" s="1"/>
      <c r="B186" s="1"/>
      <c r="C186" s="1"/>
      <c r="D186" s="1"/>
      <c r="E186" s="1"/>
    </row>
    <row r="187" spans="1:5">
      <c r="A187" s="1"/>
      <c r="B187" s="1"/>
      <c r="C187" s="1"/>
      <c r="D187" s="1"/>
      <c r="E187" s="1"/>
    </row>
    <row r="188" spans="1:5">
      <c r="A188" s="1"/>
      <c r="B188" s="1"/>
      <c r="C188" s="1"/>
      <c r="D188" s="1"/>
      <c r="E188" s="1"/>
    </row>
    <row r="189" spans="1:5">
      <c r="A189" s="1"/>
      <c r="B189" s="1"/>
      <c r="C189" s="1"/>
      <c r="D189" s="1"/>
      <c r="E189" s="1"/>
    </row>
    <row r="190" spans="1:5">
      <c r="A190" s="1"/>
      <c r="B190" s="1"/>
      <c r="C190" s="1"/>
      <c r="D190" s="1"/>
      <c r="E190" s="1"/>
    </row>
    <row r="191" spans="1:5">
      <c r="A191" s="1"/>
      <c r="B191" s="1"/>
      <c r="C191" s="1"/>
      <c r="D191" s="1"/>
      <c r="E191" s="1"/>
    </row>
    <row r="192" spans="1:5">
      <c r="A192" s="1"/>
      <c r="B192" s="1"/>
      <c r="C192" s="1"/>
      <c r="D192" s="1"/>
      <c r="E192" s="1"/>
    </row>
    <row r="193" spans="1:5">
      <c r="A193" s="1"/>
      <c r="B193" s="1"/>
      <c r="C193" s="1"/>
      <c r="D193" s="1"/>
      <c r="E193" s="1"/>
    </row>
    <row r="194" spans="1:5">
      <c r="A194" s="1"/>
      <c r="B194" s="1"/>
      <c r="C194" s="1"/>
      <c r="D194" s="1"/>
      <c r="E194" s="1"/>
    </row>
    <row r="195" spans="1:5">
      <c r="A195" s="1"/>
      <c r="B195" s="1"/>
      <c r="C195" s="1"/>
      <c r="D195" s="1"/>
      <c r="E195" s="1"/>
    </row>
    <row r="196" spans="1:5">
      <c r="A196" s="1"/>
      <c r="B196" s="1"/>
      <c r="C196" s="1"/>
      <c r="D196" s="1"/>
      <c r="E196" s="1"/>
    </row>
    <row r="197" spans="1:5">
      <c r="A197" s="1"/>
      <c r="B197" s="1"/>
      <c r="C197" s="1"/>
      <c r="D197" s="1"/>
      <c r="E197" s="1"/>
    </row>
    <row r="198" spans="1:5">
      <c r="A198" s="1"/>
      <c r="B198" s="1"/>
      <c r="C198" s="1"/>
      <c r="D198" s="1"/>
      <c r="E198" s="1"/>
    </row>
    <row r="199" spans="1:5">
      <c r="A199" s="1"/>
      <c r="B199" s="1"/>
      <c r="C199" s="1"/>
      <c r="D199" s="1"/>
      <c r="E199" s="1"/>
    </row>
    <row r="200" spans="1:5">
      <c r="A200" s="1"/>
      <c r="B200" s="1"/>
      <c r="C200" s="1"/>
      <c r="D200" s="1"/>
      <c r="E200" s="1"/>
    </row>
    <row r="201" spans="1:5">
      <c r="A201" s="1"/>
      <c r="B201" s="1"/>
      <c r="C201" s="1"/>
      <c r="D201" s="1"/>
      <c r="E201" s="1"/>
    </row>
    <row r="202" spans="1:5">
      <c r="A202" s="1"/>
      <c r="B202" s="1"/>
      <c r="C202" s="1"/>
      <c r="D202" s="1"/>
      <c r="E202" s="1"/>
    </row>
    <row r="203" spans="1:5">
      <c r="A203" s="1"/>
      <c r="B203" s="1"/>
      <c r="C203" s="1"/>
      <c r="D203" s="1"/>
      <c r="E203" s="1"/>
    </row>
    <row r="204" spans="1:5">
      <c r="A204" s="1"/>
      <c r="B204" s="1"/>
      <c r="C204" s="1"/>
      <c r="D204" s="1"/>
      <c r="E204" s="1"/>
    </row>
    <row r="205" spans="1:5">
      <c r="A205" s="1"/>
      <c r="B205" s="1"/>
      <c r="C205" s="1"/>
      <c r="D205" s="1"/>
      <c r="E205" s="1"/>
    </row>
    <row r="206" spans="1:5">
      <c r="A206" s="1"/>
      <c r="B206" s="1"/>
      <c r="C206" s="1"/>
      <c r="D206" s="1"/>
      <c r="E206" s="1"/>
    </row>
    <row r="207" spans="1:5">
      <c r="A207" s="1"/>
      <c r="B207" s="1"/>
      <c r="C207" s="1"/>
      <c r="D207" s="1"/>
      <c r="E207" s="1"/>
    </row>
    <row r="208" spans="1:5">
      <c r="A208" s="1"/>
      <c r="B208" s="1"/>
      <c r="C208" s="1"/>
      <c r="D208" s="1"/>
      <c r="E208" s="1"/>
    </row>
    <row r="209" spans="1:5">
      <c r="A209" s="1"/>
      <c r="B209" s="1"/>
      <c r="C209" s="1"/>
      <c r="D209" s="1"/>
      <c r="E209" s="1"/>
    </row>
    <row r="210" spans="1:5">
      <c r="A210" s="1"/>
      <c r="B210" s="1"/>
      <c r="C210" s="1"/>
      <c r="D210" s="1"/>
      <c r="E210" s="1"/>
    </row>
    <row r="211" spans="1:5">
      <c r="A211" s="1"/>
      <c r="B211" s="1"/>
      <c r="C211" s="1"/>
      <c r="D211" s="1"/>
      <c r="E211" s="1"/>
    </row>
    <row r="212" spans="1:5">
      <c r="A212" s="1"/>
      <c r="B212" s="1"/>
      <c r="C212" s="1"/>
      <c r="D212" s="1"/>
      <c r="E212" s="1"/>
    </row>
    <row r="213" spans="1:5">
      <c r="A213" s="1"/>
      <c r="B213" s="1"/>
      <c r="C213" s="1"/>
      <c r="D213" s="1"/>
      <c r="E213" s="1"/>
    </row>
    <row r="214" spans="1:5">
      <c r="A214" s="1"/>
      <c r="B214" s="1"/>
      <c r="C214" s="1"/>
      <c r="D214" s="1"/>
      <c r="E214" s="1"/>
    </row>
    <row r="215" spans="1:5">
      <c r="A215" s="1"/>
      <c r="B215" s="1"/>
      <c r="C215" s="1"/>
      <c r="D215" s="1"/>
      <c r="E215" s="1"/>
    </row>
    <row r="216" spans="1:5">
      <c r="A216" s="1"/>
      <c r="B216" s="1"/>
      <c r="C216" s="1"/>
      <c r="D216" s="1"/>
      <c r="E216" s="1"/>
    </row>
    <row r="217" spans="1:5">
      <c r="A217" s="1"/>
      <c r="B217" s="1"/>
      <c r="C217" s="1"/>
      <c r="D217" s="1"/>
      <c r="E217" s="1"/>
    </row>
    <row r="218" spans="1:5">
      <c r="A218" s="1"/>
      <c r="B218" s="1"/>
      <c r="C218" s="1"/>
      <c r="D218" s="1"/>
      <c r="E218" s="1"/>
    </row>
    <row r="219" spans="1:5">
      <c r="A219" s="1"/>
      <c r="B219" s="1"/>
      <c r="C219" s="1"/>
      <c r="D219" s="1"/>
      <c r="E219" s="1"/>
    </row>
    <row r="220" spans="1:5">
      <c r="A220" s="1"/>
      <c r="B220" s="1"/>
      <c r="C220" s="1"/>
      <c r="D220" s="1"/>
      <c r="E220" s="1"/>
    </row>
    <row r="221" spans="1:5">
      <c r="A221" s="1"/>
      <c r="B221" s="1"/>
      <c r="C221" s="1"/>
      <c r="D221" s="1"/>
      <c r="E221" s="1"/>
    </row>
    <row r="222" spans="1:5">
      <c r="A222" s="1"/>
      <c r="B222" s="1"/>
      <c r="C222" s="1"/>
      <c r="D222" s="1"/>
      <c r="E222" s="1"/>
    </row>
    <row r="223" spans="1:5">
      <c r="A223" s="1"/>
      <c r="B223" s="1"/>
      <c r="C223" s="1"/>
      <c r="D223" s="1"/>
      <c r="E223" s="1"/>
    </row>
    <row r="224" spans="1:5">
      <c r="A224" s="1"/>
      <c r="B224" s="1"/>
      <c r="C224" s="1"/>
      <c r="D224" s="1"/>
      <c r="E224" s="1"/>
    </row>
    <row r="225" spans="1:5">
      <c r="A225" s="1"/>
      <c r="B225" s="1"/>
      <c r="C225" s="1"/>
      <c r="D225" s="1"/>
      <c r="E225" s="1"/>
    </row>
    <row r="226" spans="1:5">
      <c r="A226" s="1"/>
      <c r="B226" s="1"/>
      <c r="C226" s="1"/>
      <c r="D226" s="1"/>
      <c r="E226" s="1"/>
    </row>
    <row r="227" spans="1:5">
      <c r="A227" s="1"/>
      <c r="B227" s="1"/>
      <c r="C227" s="1"/>
      <c r="D227" s="1"/>
      <c r="E227" s="1"/>
    </row>
    <row r="228" spans="1:5">
      <c r="A228" s="1"/>
      <c r="B228" s="1"/>
      <c r="C228" s="1"/>
      <c r="D228" s="1"/>
      <c r="E228" s="1"/>
    </row>
    <row r="229" spans="1:5">
      <c r="A229" s="1"/>
      <c r="B229" s="1"/>
      <c r="C229" s="1"/>
      <c r="D229" s="1"/>
      <c r="E229" s="1"/>
    </row>
    <row r="230" spans="1:5">
      <c r="A230" s="1"/>
      <c r="B230" s="1"/>
      <c r="C230" s="1"/>
      <c r="D230" s="1"/>
      <c r="E230" s="1"/>
    </row>
    <row r="231" spans="1:5">
      <c r="A231" s="1"/>
      <c r="B231" s="1"/>
      <c r="C231" s="1"/>
      <c r="D231" s="1"/>
      <c r="E231" s="1"/>
    </row>
    <row r="232" spans="1:5">
      <c r="A232" s="1"/>
      <c r="B232" s="1"/>
      <c r="C232" s="1"/>
      <c r="D232" s="1"/>
      <c r="E232" s="1"/>
    </row>
    <row r="233" spans="1:5">
      <c r="A233" s="1"/>
      <c r="B233" s="1"/>
      <c r="C233" s="1"/>
      <c r="D233" s="1"/>
      <c r="E233" s="1"/>
    </row>
    <row r="234" spans="1:5">
      <c r="A234" s="1"/>
      <c r="B234" s="1"/>
      <c r="C234" s="1"/>
      <c r="D234" s="1"/>
      <c r="E234" s="1"/>
    </row>
    <row r="235" spans="1:5">
      <c r="A235" s="1"/>
      <c r="B235" s="1"/>
      <c r="C235" s="1"/>
      <c r="D235" s="1"/>
      <c r="E235" s="1"/>
    </row>
    <row r="236" spans="1:5">
      <c r="A236" s="1"/>
      <c r="B236" s="1"/>
      <c r="C236" s="1"/>
      <c r="D236" s="1"/>
      <c r="E236" s="1"/>
    </row>
    <row r="237" spans="1:5">
      <c r="A237" s="1"/>
      <c r="B237" s="1"/>
      <c r="C237" s="1"/>
      <c r="D237" s="1"/>
      <c r="E237" s="1"/>
    </row>
    <row r="238" spans="1:5">
      <c r="A238" s="1"/>
      <c r="B238" s="1"/>
      <c r="C238" s="1"/>
      <c r="D238" s="1"/>
      <c r="E238" s="1"/>
    </row>
    <row r="239" spans="1:5">
      <c r="A239" s="1"/>
      <c r="B239" s="1"/>
      <c r="C239" s="1"/>
      <c r="D239" s="1"/>
      <c r="E239" s="1"/>
    </row>
    <row r="240" spans="1:5">
      <c r="A240" s="1"/>
      <c r="B240" s="1"/>
      <c r="C240" s="1"/>
      <c r="D240" s="1"/>
      <c r="E240" s="1"/>
    </row>
    <row r="241" spans="1:5">
      <c r="A241" s="1"/>
      <c r="B241" s="1"/>
      <c r="C241" s="1"/>
      <c r="D241" s="1"/>
      <c r="E241" s="1"/>
    </row>
    <row r="242" spans="1:5">
      <c r="A242" s="1"/>
      <c r="B242" s="1"/>
      <c r="C242" s="1"/>
      <c r="D242" s="1"/>
      <c r="E242" s="1"/>
    </row>
    <row r="243" spans="1:5">
      <c r="A243" s="1"/>
      <c r="B243" s="1"/>
      <c r="C243" s="1"/>
      <c r="D243" s="1"/>
      <c r="E243" s="1"/>
    </row>
    <row r="244" spans="1:5">
      <c r="A244" s="1"/>
      <c r="B244" s="1"/>
      <c r="C244" s="1"/>
      <c r="D244" s="1"/>
      <c r="E244" s="1"/>
    </row>
    <row r="245" spans="1:5">
      <c r="A245" s="1"/>
      <c r="B245" s="1"/>
      <c r="C245" s="1"/>
      <c r="D245" s="1"/>
      <c r="E245" s="1"/>
    </row>
    <row r="246" spans="1:5">
      <c r="A246" s="1"/>
      <c r="B246" s="1"/>
      <c r="C246" s="1"/>
      <c r="D246" s="1"/>
      <c r="E246" s="1"/>
    </row>
    <row r="247" spans="1:5">
      <c r="A247" s="1"/>
      <c r="B247" s="1"/>
      <c r="C247" s="1"/>
      <c r="D247" s="1"/>
      <c r="E247" s="1"/>
    </row>
    <row r="248" spans="1:5">
      <c r="A248" s="1"/>
      <c r="B248" s="1"/>
      <c r="C248" s="1"/>
      <c r="D248" s="1"/>
      <c r="E248" s="1"/>
    </row>
    <row r="249" spans="1:5">
      <c r="A249" s="1"/>
      <c r="B249" s="1"/>
      <c r="C249" s="1"/>
      <c r="D249" s="1"/>
      <c r="E249" s="1"/>
    </row>
    <row r="250" spans="1:5">
      <c r="A250" s="1"/>
      <c r="B250" s="1"/>
      <c r="C250" s="1"/>
      <c r="D250" s="1"/>
      <c r="E250" s="1"/>
    </row>
    <row r="251" spans="1:5">
      <c r="A251" s="1"/>
      <c r="B251" s="1"/>
      <c r="C251" s="1"/>
      <c r="D251" s="1"/>
      <c r="E251" s="1"/>
    </row>
    <row r="252" spans="1:5">
      <c r="A252" s="1"/>
      <c r="B252" s="1"/>
      <c r="C252" s="1"/>
      <c r="D252" s="1"/>
      <c r="E252" s="1"/>
    </row>
    <row r="253" spans="1:5">
      <c r="A253" s="1"/>
      <c r="B253" s="1"/>
      <c r="C253" s="1"/>
      <c r="D253" s="1"/>
      <c r="E253" s="1"/>
    </row>
    <row r="254" spans="1:5">
      <c r="A254" s="1"/>
      <c r="B254" s="1"/>
      <c r="C254" s="1"/>
      <c r="D254" s="1"/>
      <c r="E254" s="1"/>
    </row>
    <row r="255" spans="1:5">
      <c r="A255" s="1"/>
      <c r="B255" s="1"/>
      <c r="C255" s="1"/>
      <c r="D255" s="1"/>
      <c r="E255" s="1"/>
    </row>
    <row r="256" spans="1:5">
      <c r="A256" s="1"/>
      <c r="B256" s="1"/>
      <c r="C256" s="1"/>
      <c r="D256" s="1"/>
      <c r="E256" s="1"/>
    </row>
    <row r="257" spans="1:5">
      <c r="A257" s="1"/>
      <c r="B257" s="1"/>
      <c r="C257" s="1"/>
      <c r="D257" s="1"/>
      <c r="E257" s="1"/>
    </row>
    <row r="258" spans="1:5">
      <c r="A258" s="1"/>
      <c r="B258" s="1"/>
      <c r="C258" s="1"/>
      <c r="D258" s="1"/>
      <c r="E258" s="1"/>
    </row>
    <row r="259" spans="1:5">
      <c r="A259" s="1"/>
      <c r="B259" s="1"/>
      <c r="C259" s="1"/>
      <c r="D259" s="1"/>
      <c r="E259" s="1"/>
    </row>
    <row r="260" spans="1:5">
      <c r="A260" s="1"/>
      <c r="B260" s="1"/>
      <c r="C260" s="1"/>
      <c r="D260" s="1"/>
      <c r="E260" s="1"/>
    </row>
    <row r="261" spans="1:5">
      <c r="A261" s="1"/>
      <c r="B261" s="1"/>
      <c r="C261" s="1"/>
      <c r="D261" s="1"/>
      <c r="E261" s="1"/>
    </row>
    <row r="262" spans="1:5">
      <c r="A262" s="1"/>
      <c r="B262" s="1"/>
      <c r="C262" s="1"/>
      <c r="D262" s="1"/>
      <c r="E262" s="1"/>
    </row>
    <row r="263" spans="1:5">
      <c r="A263" s="1"/>
      <c r="B263" s="1"/>
      <c r="C263" s="1"/>
      <c r="D263" s="1"/>
      <c r="E263" s="1"/>
    </row>
    <row r="264" spans="1:5">
      <c r="A264" s="1"/>
      <c r="B264" s="1"/>
      <c r="C264" s="1"/>
      <c r="D264" s="1"/>
      <c r="E264" s="1"/>
    </row>
    <row r="265" spans="1:5">
      <c r="A265" s="1"/>
      <c r="B265" s="1"/>
      <c r="C265" s="1"/>
      <c r="D265" s="1"/>
      <c r="E265" s="1"/>
    </row>
    <row r="266" spans="1:5">
      <c r="A266" s="1"/>
      <c r="B266" s="1"/>
      <c r="C266" s="1"/>
      <c r="D266" s="1"/>
      <c r="E266" s="1"/>
    </row>
    <row r="267" spans="1:5">
      <c r="A267" s="1"/>
      <c r="B267" s="1"/>
      <c r="C267" s="1"/>
      <c r="D267" s="1"/>
      <c r="E267" s="1"/>
    </row>
    <row r="268" spans="1:5">
      <c r="A268" s="1"/>
      <c r="B268" s="1"/>
      <c r="C268" s="1"/>
      <c r="D268" s="1"/>
      <c r="E268" s="1"/>
    </row>
    <row r="269" spans="1:5">
      <c r="A269" s="1"/>
      <c r="B269" s="1"/>
      <c r="C269" s="1"/>
      <c r="D269" s="1"/>
      <c r="E269" s="1"/>
    </row>
    <row r="270" spans="1:5">
      <c r="A270" s="1"/>
      <c r="B270" s="1"/>
      <c r="C270" s="1"/>
      <c r="D270" s="1"/>
      <c r="E270" s="1"/>
    </row>
    <row r="271" spans="1:5">
      <c r="A271" s="1"/>
      <c r="B271" s="1"/>
      <c r="C271" s="1"/>
      <c r="D271" s="1"/>
      <c r="E271" s="1"/>
    </row>
    <row r="272" spans="1:5">
      <c r="A272" s="1"/>
      <c r="B272" s="1"/>
      <c r="C272" s="1"/>
      <c r="D272" s="1"/>
      <c r="E272" s="1"/>
    </row>
    <row r="273" spans="1:5">
      <c r="A273" s="1"/>
      <c r="B273" s="1"/>
      <c r="C273" s="1"/>
      <c r="D273" s="1"/>
      <c r="E273" s="1"/>
    </row>
    <row r="274" spans="1:5">
      <c r="A274" s="1"/>
      <c r="B274" s="1"/>
      <c r="C274" s="1"/>
      <c r="D274" s="1"/>
      <c r="E274" s="1"/>
    </row>
    <row r="275" spans="1:5">
      <c r="A275" s="1"/>
      <c r="B275" s="1"/>
      <c r="C275" s="1"/>
      <c r="D275" s="1"/>
      <c r="E275" s="1"/>
    </row>
    <row r="276" spans="1:5">
      <c r="A276" s="1"/>
      <c r="B276" s="1"/>
      <c r="C276" s="1"/>
      <c r="D276" s="1"/>
      <c r="E276" s="1"/>
    </row>
    <row r="277" spans="1:5">
      <c r="A277" s="1"/>
      <c r="B277" s="1"/>
      <c r="C277" s="1"/>
      <c r="D277" s="1"/>
      <c r="E277" s="1"/>
    </row>
    <row r="278" spans="1:5">
      <c r="A278" s="1"/>
      <c r="B278" s="1"/>
      <c r="C278" s="1"/>
      <c r="D278" s="1"/>
      <c r="E278" s="1"/>
    </row>
    <row r="279" spans="1:5">
      <c r="A279" s="1"/>
      <c r="B279" s="1"/>
      <c r="C279" s="1"/>
      <c r="D279" s="1"/>
      <c r="E279" s="1"/>
    </row>
    <row r="280" spans="1:5">
      <c r="A280" s="1"/>
      <c r="B280" s="1"/>
      <c r="C280" s="1"/>
      <c r="D280" s="1"/>
      <c r="E280" s="1"/>
    </row>
    <row r="281" spans="1:5">
      <c r="A281" s="1"/>
      <c r="B281" s="1"/>
      <c r="C281" s="1"/>
      <c r="D281" s="1"/>
      <c r="E281" s="1"/>
    </row>
    <row r="282" spans="1:5">
      <c r="A282" s="1"/>
      <c r="B282" s="1"/>
      <c r="C282" s="1"/>
      <c r="D282" s="1"/>
      <c r="E282" s="1"/>
    </row>
    <row r="283" spans="1:5">
      <c r="A283" s="1"/>
      <c r="B283" s="1"/>
      <c r="C283" s="1"/>
      <c r="D283" s="1"/>
      <c r="E283" s="1"/>
    </row>
    <row r="284" spans="1:5">
      <c r="A284" s="1"/>
      <c r="B284" s="1"/>
      <c r="C284" s="1"/>
      <c r="D284" s="1"/>
      <c r="E284" s="1"/>
    </row>
    <row r="285" spans="1:5">
      <c r="A285" s="1"/>
      <c r="B285" s="1"/>
      <c r="C285" s="1"/>
      <c r="D285" s="1"/>
      <c r="E285" s="1"/>
    </row>
    <row r="286" spans="1:5">
      <c r="A286" s="1"/>
      <c r="B286" s="1"/>
      <c r="C286" s="1"/>
      <c r="D286" s="1"/>
      <c r="E286" s="1"/>
    </row>
    <row r="287" spans="1:5">
      <c r="A287" s="1"/>
      <c r="B287" s="1"/>
      <c r="C287" s="1"/>
      <c r="D287" s="1"/>
      <c r="E287" s="1"/>
    </row>
    <row r="288" spans="1:5">
      <c r="A288" s="1"/>
      <c r="B288" s="1"/>
      <c r="C288" s="1"/>
      <c r="D288" s="1"/>
      <c r="E288" s="1"/>
    </row>
    <row r="289" spans="1:5">
      <c r="A289" s="1"/>
      <c r="B289" s="1"/>
      <c r="C289" s="1"/>
      <c r="D289" s="1"/>
      <c r="E289" s="1"/>
    </row>
    <row r="290" spans="1:5">
      <c r="A290" s="1"/>
      <c r="B290" s="1"/>
      <c r="C290" s="1"/>
      <c r="D290" s="1"/>
      <c r="E290" s="1"/>
    </row>
    <row r="291" spans="1:5">
      <c r="A291" s="1"/>
      <c r="B291" s="1"/>
      <c r="C291" s="1"/>
      <c r="D291" s="1"/>
      <c r="E291" s="1"/>
    </row>
    <row r="292" spans="1:5">
      <c r="A292" s="1"/>
      <c r="B292" s="1"/>
      <c r="C292" s="1"/>
      <c r="D292" s="1"/>
      <c r="E292" s="1"/>
    </row>
    <row r="293" spans="1:5">
      <c r="A293" s="1"/>
      <c r="B293" s="1"/>
      <c r="C293" s="1"/>
      <c r="D293" s="1"/>
      <c r="E293" s="1"/>
    </row>
    <row r="294" spans="1:5">
      <c r="A294" s="1"/>
      <c r="B294" s="1"/>
      <c r="C294" s="1"/>
      <c r="D294" s="1"/>
      <c r="E294" s="1"/>
    </row>
    <row r="295" spans="1:5">
      <c r="A295" s="1"/>
      <c r="B295" s="1"/>
      <c r="C295" s="1"/>
      <c r="D295" s="1"/>
      <c r="E295" s="1"/>
    </row>
    <row r="296" spans="1:5">
      <c r="A296" s="1"/>
      <c r="B296" s="1"/>
      <c r="C296" s="1"/>
      <c r="D296" s="1"/>
      <c r="E296" s="1"/>
    </row>
    <row r="297" spans="1:5">
      <c r="A297" s="1"/>
      <c r="B297" s="1"/>
      <c r="C297" s="1"/>
      <c r="D297" s="1"/>
      <c r="E297" s="1"/>
    </row>
    <row r="298" spans="1:5">
      <c r="A298" s="1"/>
      <c r="B298" s="1"/>
      <c r="C298" s="1"/>
      <c r="D298" s="1"/>
      <c r="E298" s="1"/>
    </row>
    <row r="299" spans="1:5">
      <c r="A299" s="1"/>
      <c r="B299" s="1"/>
      <c r="C299" s="1"/>
      <c r="D299" s="1"/>
      <c r="E299" s="1"/>
    </row>
    <row r="300" spans="1:5">
      <c r="A300" s="1"/>
      <c r="B300" s="1"/>
      <c r="C300" s="1"/>
      <c r="D300" s="1"/>
      <c r="E300" s="1"/>
    </row>
    <row r="301" spans="1:5">
      <c r="A301" s="1"/>
      <c r="B301" s="1"/>
      <c r="C301" s="1"/>
      <c r="D301" s="1"/>
      <c r="E301" s="1"/>
    </row>
    <row r="302" spans="1:5">
      <c r="A302" s="1"/>
      <c r="B302" s="1"/>
      <c r="C302" s="1"/>
      <c r="D302" s="1"/>
      <c r="E302" s="1"/>
    </row>
    <row r="303" spans="1:5">
      <c r="A303" s="1"/>
      <c r="B303" s="1"/>
      <c r="C303" s="1"/>
      <c r="D303" s="1"/>
      <c r="E303" s="1"/>
    </row>
    <row r="304" spans="1:5">
      <c r="A304" s="1"/>
      <c r="B304" s="1"/>
      <c r="C304" s="1"/>
      <c r="D304" s="1"/>
      <c r="E304" s="1"/>
    </row>
    <row r="305" spans="1:5">
      <c r="A305" s="1"/>
      <c r="B305" s="1"/>
      <c r="C305" s="1"/>
      <c r="D305" s="1"/>
      <c r="E305" s="1"/>
    </row>
    <row r="306" spans="1:5">
      <c r="A306" s="1"/>
      <c r="B306" s="1"/>
      <c r="C306" s="1"/>
      <c r="D306" s="1"/>
      <c r="E306" s="1"/>
    </row>
    <row r="307" spans="1:5">
      <c r="A307" s="1"/>
      <c r="B307" s="1"/>
      <c r="C307" s="1"/>
      <c r="D307" s="1"/>
      <c r="E307" s="1"/>
    </row>
    <row r="308" spans="1:5">
      <c r="A308" s="1"/>
      <c r="B308" s="1"/>
      <c r="C308" s="1"/>
      <c r="D308" s="1"/>
      <c r="E308" s="1"/>
    </row>
    <row r="309" spans="1:5">
      <c r="A309" s="1"/>
      <c r="B309" s="1"/>
      <c r="C309" s="1"/>
      <c r="D309" s="1"/>
      <c r="E309" s="1"/>
    </row>
    <row r="310" spans="1:5">
      <c r="A310" s="1"/>
      <c r="B310" s="1"/>
      <c r="C310" s="1"/>
      <c r="D310" s="1"/>
      <c r="E310" s="1"/>
    </row>
    <row r="311" spans="1:5">
      <c r="A311" s="1"/>
      <c r="B311" s="1"/>
      <c r="C311" s="1"/>
      <c r="D311" s="1"/>
      <c r="E311" s="1"/>
    </row>
    <row r="312" spans="1:5">
      <c r="A312" s="1"/>
      <c r="B312" s="1"/>
      <c r="C312" s="1"/>
      <c r="D312" s="1"/>
      <c r="E312" s="1"/>
    </row>
    <row r="313" spans="1:5">
      <c r="A313" s="1"/>
      <c r="B313" s="1"/>
      <c r="C313" s="1"/>
      <c r="D313" s="1"/>
      <c r="E313" s="1"/>
    </row>
    <row r="314" spans="1:5">
      <c r="A314" s="1"/>
      <c r="B314" s="1"/>
      <c r="C314" s="1"/>
      <c r="D314" s="1"/>
      <c r="E314" s="1"/>
    </row>
    <row r="315" spans="1:5">
      <c r="A315" s="1"/>
      <c r="B315" s="1"/>
      <c r="C315" s="1"/>
      <c r="D315" s="1"/>
      <c r="E315" s="1"/>
    </row>
    <row r="316" spans="1:5">
      <c r="A316" s="1"/>
      <c r="B316" s="1"/>
      <c r="C316" s="1"/>
      <c r="D316" s="1"/>
      <c r="E316" s="1"/>
    </row>
    <row r="317" spans="1:5">
      <c r="A317" s="1"/>
      <c r="B317" s="1"/>
      <c r="C317" s="1"/>
      <c r="D317" s="1"/>
      <c r="E317" s="1"/>
    </row>
    <row r="318" spans="1:5">
      <c r="A318" s="1"/>
      <c r="B318" s="1"/>
      <c r="C318" s="1"/>
      <c r="D318" s="1"/>
      <c r="E318" s="1"/>
    </row>
    <row r="319" spans="1:5">
      <c r="A319" s="1"/>
      <c r="B319" s="1"/>
      <c r="C319" s="1"/>
      <c r="D319" s="1"/>
      <c r="E319" s="1"/>
    </row>
    <row r="320" spans="1:5">
      <c r="A320" s="1"/>
      <c r="B320" s="1"/>
      <c r="C320" s="1"/>
      <c r="D320" s="1"/>
      <c r="E320" s="1"/>
    </row>
    <row r="321" spans="1:5">
      <c r="A321" s="1"/>
      <c r="B321" s="1"/>
      <c r="C321" s="1"/>
      <c r="D321" s="1"/>
      <c r="E321" s="1"/>
    </row>
    <row r="322" spans="1:5">
      <c r="A322" s="1"/>
      <c r="B322" s="1"/>
      <c r="C322" s="1"/>
      <c r="D322" s="1"/>
      <c r="E322" s="1"/>
    </row>
    <row r="323" spans="1:5">
      <c r="A323" s="1"/>
      <c r="B323" s="1"/>
      <c r="C323" s="1"/>
      <c r="D323" s="1"/>
      <c r="E323" s="1"/>
    </row>
    <row r="324" spans="1:5">
      <c r="A324" s="1"/>
      <c r="B324" s="1"/>
      <c r="C324" s="1"/>
      <c r="D324" s="1"/>
      <c r="E324" s="1"/>
    </row>
    <row r="325" spans="1:5">
      <c r="A325" s="1"/>
      <c r="B325" s="1"/>
      <c r="C325" s="1"/>
      <c r="D325" s="1"/>
      <c r="E325" s="1"/>
    </row>
    <row r="326" spans="1:5">
      <c r="A326" s="1"/>
      <c r="B326" s="1"/>
      <c r="C326" s="1"/>
      <c r="D326" s="1"/>
      <c r="E326" s="1"/>
    </row>
    <row r="327" spans="1:5">
      <c r="A327" s="1"/>
      <c r="B327" s="1"/>
      <c r="C327" s="1"/>
      <c r="D327" s="1"/>
      <c r="E327" s="1"/>
    </row>
    <row r="328" spans="1:5">
      <c r="A328" s="1"/>
      <c r="B328" s="1"/>
      <c r="C328" s="1"/>
      <c r="D328" s="1"/>
      <c r="E328" s="1"/>
    </row>
    <row r="329" spans="1:5">
      <c r="A329" s="1"/>
      <c r="B329" s="1"/>
      <c r="C329" s="1"/>
      <c r="D329" s="1"/>
      <c r="E329" s="1"/>
    </row>
    <row r="330" spans="1:5">
      <c r="A330" s="1"/>
      <c r="B330" s="1"/>
      <c r="C330" s="1"/>
      <c r="D330" s="1"/>
      <c r="E330" s="1"/>
    </row>
    <row r="331" spans="1:5">
      <c r="A331" s="1"/>
      <c r="B331" s="1"/>
      <c r="C331" s="1"/>
      <c r="D331" s="1"/>
      <c r="E331" s="1"/>
    </row>
    <row r="332" spans="1:5">
      <c r="A332" s="1"/>
      <c r="B332" s="1"/>
      <c r="C332" s="1"/>
      <c r="D332" s="1"/>
      <c r="E332" s="1"/>
    </row>
    <row r="333" spans="1:5">
      <c r="A333" s="1"/>
      <c r="B333" s="1"/>
      <c r="C333" s="1"/>
      <c r="D333" s="1"/>
      <c r="E333" s="1"/>
    </row>
    <row r="334" spans="1:5">
      <c r="A334" s="1"/>
      <c r="B334" s="1"/>
      <c r="C334" s="1"/>
      <c r="D334" s="1"/>
      <c r="E334" s="1"/>
    </row>
    <row r="335" spans="1:5">
      <c r="A335" s="1"/>
      <c r="B335" s="1"/>
      <c r="C335" s="1"/>
      <c r="D335" s="1"/>
      <c r="E335" s="1"/>
    </row>
    <row r="336" spans="1:5">
      <c r="A336" s="1"/>
      <c r="B336" s="1"/>
      <c r="C336" s="1"/>
      <c r="D336" s="1"/>
      <c r="E336" s="1"/>
    </row>
    <row r="337" spans="1:5">
      <c r="A337" s="1"/>
      <c r="B337" s="1"/>
      <c r="C337" s="1"/>
      <c r="D337" s="1"/>
      <c r="E337" s="1"/>
    </row>
    <row r="338" spans="1:5">
      <c r="A338" s="1"/>
      <c r="B338" s="1"/>
      <c r="C338" s="1"/>
      <c r="D338" s="1"/>
      <c r="E338" s="1"/>
    </row>
    <row r="339" spans="1:5">
      <c r="A339" s="1"/>
      <c r="B339" s="1"/>
      <c r="C339" s="1"/>
      <c r="D339" s="1"/>
      <c r="E339" s="1"/>
    </row>
    <row r="340" spans="1:5">
      <c r="A340" s="1"/>
      <c r="B340" s="1"/>
      <c r="C340" s="1"/>
      <c r="D340" s="1"/>
      <c r="E340" s="1"/>
    </row>
    <row r="341" spans="1:5">
      <c r="A341" s="1"/>
      <c r="B341" s="1"/>
      <c r="C341" s="1"/>
      <c r="D341" s="1"/>
      <c r="E341" s="1"/>
    </row>
    <row r="342" spans="1:5">
      <c r="A342" s="1"/>
      <c r="B342" s="1"/>
      <c r="C342" s="1"/>
      <c r="D342" s="1"/>
      <c r="E342" s="1"/>
    </row>
    <row r="343" spans="1:5">
      <c r="A343" s="1"/>
      <c r="B343" s="1"/>
      <c r="C343" s="1"/>
      <c r="D343" s="1"/>
      <c r="E343" s="1"/>
    </row>
    <row r="344" spans="1:5">
      <c r="A344" s="1"/>
      <c r="B344" s="1"/>
      <c r="C344" s="1"/>
      <c r="D344" s="1"/>
      <c r="E344" s="1"/>
    </row>
    <row r="345" spans="1:5">
      <c r="A345" s="1"/>
      <c r="B345" s="1"/>
      <c r="C345" s="1"/>
      <c r="D345" s="1"/>
      <c r="E345" s="1"/>
    </row>
    <row r="346" spans="1:5">
      <c r="A346" s="1"/>
      <c r="B346" s="1"/>
      <c r="C346" s="1"/>
      <c r="D346" s="1"/>
      <c r="E346" s="1"/>
    </row>
    <row r="347" spans="1:5">
      <c r="A347" s="1"/>
      <c r="B347" s="1"/>
      <c r="C347" s="1"/>
      <c r="D347" s="1"/>
      <c r="E347" s="1"/>
    </row>
    <row r="348" spans="1:5">
      <c r="A348" s="1"/>
      <c r="B348" s="1"/>
      <c r="C348" s="1"/>
      <c r="D348" s="1"/>
      <c r="E348" s="1"/>
    </row>
    <row r="349" spans="1:5">
      <c r="A349" s="1"/>
      <c r="B349" s="1"/>
      <c r="C349" s="1"/>
      <c r="D349" s="1"/>
      <c r="E349" s="1"/>
    </row>
    <row r="350" spans="1:5">
      <c r="A350" s="1"/>
      <c r="B350" s="1"/>
      <c r="C350" s="1"/>
      <c r="D350" s="1"/>
      <c r="E350" s="1"/>
    </row>
    <row r="351" spans="1:5">
      <c r="A351" s="1"/>
      <c r="B351" s="1"/>
      <c r="C351" s="1"/>
      <c r="D351" s="1"/>
      <c r="E351" s="1"/>
    </row>
    <row r="352" spans="1:5">
      <c r="A352" s="1"/>
      <c r="B352" s="1"/>
      <c r="C352" s="1"/>
      <c r="D352" s="1"/>
      <c r="E352" s="1"/>
    </row>
    <row r="353" spans="1:5">
      <c r="A353" s="1"/>
      <c r="B353" s="1"/>
      <c r="C353" s="1"/>
      <c r="D353" s="1"/>
      <c r="E353" s="1"/>
    </row>
    <row r="354" spans="1:5">
      <c r="A354" s="1"/>
      <c r="B354" s="1"/>
      <c r="C354" s="1"/>
      <c r="D354" s="1"/>
      <c r="E354" s="1"/>
    </row>
    <row r="355" spans="1:5">
      <c r="A355" s="1"/>
      <c r="B355" s="1"/>
      <c r="C355" s="1"/>
      <c r="D355" s="1"/>
      <c r="E355" s="1"/>
    </row>
    <row r="356" spans="1:5">
      <c r="A356" s="1"/>
      <c r="B356" s="1"/>
      <c r="C356" s="1"/>
      <c r="D356" s="1"/>
      <c r="E356" s="1"/>
    </row>
    <row r="357" spans="1:5">
      <c r="A357" s="1"/>
      <c r="B357" s="1"/>
      <c r="C357" s="1"/>
      <c r="D357" s="1"/>
      <c r="E357" s="1"/>
    </row>
    <row r="358" spans="1:5">
      <c r="A358" s="1"/>
      <c r="B358" s="1"/>
      <c r="C358" s="1"/>
      <c r="D358" s="1"/>
      <c r="E358" s="1"/>
    </row>
    <row r="359" spans="1:5">
      <c r="A359" s="1"/>
      <c r="B359" s="1"/>
      <c r="C359" s="1"/>
      <c r="D359" s="1"/>
      <c r="E359" s="1"/>
    </row>
    <row r="360" spans="1:5">
      <c r="A360" s="1"/>
      <c r="B360" s="1"/>
      <c r="C360" s="1"/>
      <c r="D360" s="1"/>
      <c r="E360" s="1"/>
    </row>
    <row r="361" spans="1:5">
      <c r="A361" s="1"/>
      <c r="B361" s="1"/>
      <c r="C361" s="1"/>
      <c r="D361" s="1"/>
      <c r="E361" s="1"/>
    </row>
    <row r="362" spans="1:5">
      <c r="A362" s="1"/>
      <c r="B362" s="1"/>
      <c r="C362" s="1"/>
      <c r="D362" s="1"/>
      <c r="E362" s="1"/>
    </row>
    <row r="363" spans="1:5">
      <c r="A363" s="1"/>
      <c r="B363" s="1"/>
      <c r="C363" s="1"/>
      <c r="D363" s="1"/>
      <c r="E363" s="1"/>
    </row>
    <row r="364" spans="1:5">
      <c r="A364" s="1"/>
      <c r="B364" s="1"/>
      <c r="C364" s="1"/>
      <c r="D364" s="1"/>
      <c r="E364" s="1"/>
    </row>
    <row r="365" spans="1:5">
      <c r="A365" s="1"/>
      <c r="B365" s="1"/>
      <c r="C365" s="1"/>
      <c r="D365" s="1"/>
      <c r="E365" s="1"/>
    </row>
    <row r="366" spans="1:5">
      <c r="A366" s="1"/>
      <c r="B366" s="1"/>
      <c r="C366" s="1"/>
      <c r="D366" s="1"/>
      <c r="E366" s="1"/>
    </row>
    <row r="367" spans="1:5">
      <c r="A367" s="1"/>
      <c r="B367" s="1"/>
      <c r="C367" s="1"/>
      <c r="D367" s="1"/>
      <c r="E367" s="1"/>
    </row>
    <row r="368" spans="1:5">
      <c r="A368" s="1"/>
      <c r="B368" s="1"/>
      <c r="C368" s="1"/>
      <c r="D368" s="1"/>
      <c r="E368" s="1"/>
    </row>
    <row r="369" spans="1:5">
      <c r="A369" s="1"/>
      <c r="B369" s="1"/>
      <c r="C369" s="1"/>
      <c r="D369" s="1"/>
      <c r="E369" s="1"/>
    </row>
    <row r="370" spans="1:5">
      <c r="A370" s="1"/>
      <c r="B370" s="1"/>
      <c r="C370" s="1"/>
      <c r="D370" s="1"/>
      <c r="E370" s="1"/>
    </row>
    <row r="371" spans="1:5">
      <c r="A371" s="1"/>
      <c r="B371" s="1"/>
      <c r="C371" s="1"/>
      <c r="D371" s="1"/>
      <c r="E371" s="1"/>
    </row>
    <row r="372" spans="1:5">
      <c r="A372" s="1"/>
      <c r="B372" s="1"/>
      <c r="C372" s="1"/>
      <c r="D372" s="1"/>
      <c r="E372" s="1"/>
    </row>
    <row r="373" spans="1:5">
      <c r="A373" s="1"/>
      <c r="B373" s="1"/>
      <c r="C373" s="1"/>
      <c r="D373" s="1"/>
      <c r="E373" s="1"/>
    </row>
    <row r="374" spans="1:5">
      <c r="A374" s="1"/>
      <c r="B374" s="1"/>
      <c r="C374" s="1"/>
      <c r="D374" s="1"/>
      <c r="E374" s="1"/>
    </row>
    <row r="375" spans="1:5">
      <c r="A375" s="1"/>
      <c r="B375" s="1"/>
      <c r="C375" s="1"/>
      <c r="D375" s="1"/>
      <c r="E375" s="1"/>
    </row>
    <row r="376" spans="1:5">
      <c r="A376" s="1"/>
      <c r="B376" s="1"/>
      <c r="C376" s="1"/>
      <c r="D376" s="1"/>
      <c r="E376" s="1"/>
    </row>
    <row r="377" spans="1:5">
      <c r="A377" s="1"/>
      <c r="B377" s="1"/>
      <c r="C377" s="1"/>
      <c r="D377" s="1"/>
      <c r="E377" s="1"/>
    </row>
    <row r="378" spans="1:5">
      <c r="A378" s="1"/>
      <c r="B378" s="1"/>
      <c r="C378" s="1"/>
      <c r="D378" s="1"/>
      <c r="E378" s="1"/>
    </row>
    <row r="379" spans="1:5">
      <c r="A379" s="1"/>
      <c r="B379" s="1"/>
      <c r="C379" s="1"/>
      <c r="D379" s="1"/>
      <c r="E379" s="1"/>
    </row>
    <row r="380" spans="1:5">
      <c r="A380" s="1"/>
      <c r="B380" s="1"/>
      <c r="C380" s="1"/>
      <c r="D380" s="1"/>
      <c r="E380" s="1"/>
    </row>
    <row r="381" spans="1:5">
      <c r="A381" s="1"/>
      <c r="B381" s="1"/>
      <c r="C381" s="1"/>
      <c r="D381" s="1"/>
      <c r="E381" s="1"/>
    </row>
    <row r="382" spans="1:5">
      <c r="A382" s="1"/>
      <c r="B382" s="1"/>
      <c r="C382" s="1"/>
      <c r="D382" s="1"/>
      <c r="E382" s="1"/>
    </row>
    <row r="383" spans="1:5">
      <c r="A383" s="1"/>
      <c r="B383" s="1"/>
      <c r="C383" s="1"/>
      <c r="D383" s="1"/>
      <c r="E383" s="1"/>
    </row>
    <row r="384" spans="1:5">
      <c r="A384" s="1"/>
      <c r="B384" s="1"/>
      <c r="C384" s="1"/>
      <c r="D384" s="1"/>
      <c r="E384" s="1"/>
    </row>
    <row r="385" spans="1:5">
      <c r="A385" s="1"/>
      <c r="B385" s="1"/>
      <c r="C385" s="1"/>
      <c r="D385" s="1"/>
      <c r="E385" s="1"/>
    </row>
    <row r="386" spans="1:5">
      <c r="A386" s="1"/>
      <c r="B386" s="1"/>
      <c r="C386" s="1"/>
      <c r="D386" s="1"/>
      <c r="E386" s="1"/>
    </row>
    <row r="387" spans="1:5">
      <c r="A387" s="1"/>
      <c r="B387" s="1"/>
      <c r="C387" s="1"/>
      <c r="D387" s="1"/>
      <c r="E387" s="1"/>
    </row>
    <row r="388" spans="1:5">
      <c r="A388" s="1"/>
      <c r="B388" s="1"/>
      <c r="C388" s="1"/>
      <c r="D388" s="1"/>
      <c r="E388" s="1"/>
    </row>
    <row r="389" spans="1:5">
      <c r="A389" s="1"/>
      <c r="B389" s="1"/>
      <c r="C389" s="1"/>
      <c r="D389" s="1"/>
      <c r="E389" s="1"/>
    </row>
    <row r="390" spans="1:5">
      <c r="A390" s="1"/>
      <c r="B390" s="1"/>
      <c r="C390" s="1"/>
      <c r="D390" s="1"/>
      <c r="E390" s="1"/>
    </row>
    <row r="391" spans="1:5">
      <c r="A391" s="1"/>
      <c r="B391" s="1"/>
      <c r="C391" s="1"/>
      <c r="D391" s="1"/>
      <c r="E391" s="1"/>
    </row>
    <row r="392" spans="1:5">
      <c r="A392" s="1"/>
      <c r="B392" s="1"/>
      <c r="C392" s="1"/>
      <c r="D392" s="1"/>
      <c r="E392" s="1"/>
    </row>
    <row r="393" spans="1:5">
      <c r="A393" s="1"/>
      <c r="B393" s="1"/>
      <c r="C393" s="1"/>
      <c r="D393" s="1"/>
      <c r="E393" s="1"/>
    </row>
    <row r="394" spans="1:5">
      <c r="A394" s="1"/>
      <c r="B394" s="1"/>
      <c r="C394" s="1"/>
      <c r="D394" s="1"/>
      <c r="E394" s="1"/>
    </row>
    <row r="395" spans="1:5">
      <c r="A395" s="1"/>
      <c r="B395" s="1"/>
      <c r="C395" s="1"/>
      <c r="D395" s="1"/>
      <c r="E395" s="1"/>
    </row>
    <row r="396" spans="1:5">
      <c r="A396" s="1"/>
      <c r="B396" s="1"/>
      <c r="C396" s="1"/>
      <c r="D396" s="1"/>
      <c r="E396" s="1"/>
    </row>
    <row r="397" spans="1:5">
      <c r="A397" s="1"/>
      <c r="B397" s="1"/>
      <c r="C397" s="1"/>
      <c r="D397" s="1"/>
      <c r="E397" s="1"/>
    </row>
    <row r="398" spans="1:5">
      <c r="A398" s="1"/>
      <c r="B398" s="1"/>
      <c r="C398" s="1"/>
      <c r="D398" s="1"/>
      <c r="E398" s="1"/>
    </row>
    <row r="399" spans="1:5">
      <c r="A399" s="1"/>
      <c r="B399" s="1"/>
      <c r="C399" s="1"/>
      <c r="D399" s="1"/>
      <c r="E399" s="1"/>
    </row>
    <row r="400" spans="1:5">
      <c r="A400" s="1"/>
      <c r="B400" s="1"/>
      <c r="C400" s="1"/>
      <c r="D400" s="1"/>
      <c r="E400" s="1"/>
    </row>
    <row r="401" spans="1:5">
      <c r="A401" s="1"/>
      <c r="B401" s="1"/>
      <c r="C401" s="1"/>
      <c r="D401" s="1"/>
      <c r="E401" s="1"/>
    </row>
    <row r="402" spans="1:5">
      <c r="A402" s="1"/>
      <c r="B402" s="1"/>
      <c r="C402" s="1"/>
      <c r="D402" s="1"/>
      <c r="E402" s="1"/>
    </row>
    <row r="403" spans="1:5">
      <c r="A403" s="1"/>
      <c r="B403" s="1"/>
      <c r="C403" s="1"/>
      <c r="D403" s="1"/>
      <c r="E403" s="1"/>
    </row>
    <row r="404" spans="1:5">
      <c r="A404" s="1"/>
      <c r="B404" s="1"/>
      <c r="C404" s="1"/>
      <c r="D404" s="1"/>
      <c r="E404" s="1"/>
    </row>
    <row r="405" spans="1:5">
      <c r="A405" s="1"/>
      <c r="B405" s="1"/>
      <c r="C405" s="1"/>
      <c r="D405" s="1"/>
      <c r="E405" s="1"/>
    </row>
    <row r="406" spans="1:5">
      <c r="A406" s="1"/>
      <c r="B406" s="1"/>
      <c r="C406" s="1"/>
      <c r="D406" s="1"/>
      <c r="E406" s="1"/>
    </row>
    <row r="407" spans="1:5">
      <c r="A407" s="1"/>
      <c r="B407" s="1"/>
      <c r="C407" s="1"/>
      <c r="D407" s="1"/>
      <c r="E407" s="1"/>
    </row>
    <row r="408" spans="1:5">
      <c r="A408" s="1"/>
      <c r="B408" s="1"/>
      <c r="C408" s="1"/>
      <c r="D408" s="1"/>
      <c r="E408" s="1"/>
    </row>
    <row r="409" spans="1:5">
      <c r="A409" s="1"/>
      <c r="B409" s="1"/>
      <c r="C409" s="1"/>
      <c r="D409" s="1"/>
      <c r="E409" s="1"/>
    </row>
    <row r="410" spans="1:5">
      <c r="A410" s="1"/>
      <c r="B410" s="1"/>
      <c r="C410" s="1"/>
      <c r="D410" s="1"/>
      <c r="E410" s="1"/>
    </row>
    <row r="411" spans="1:5">
      <c r="A411" s="1"/>
      <c r="B411" s="1"/>
      <c r="C411" s="1"/>
      <c r="D411" s="1"/>
      <c r="E411" s="1"/>
    </row>
    <row r="412" spans="1:5">
      <c r="A412" s="1"/>
      <c r="B412" s="1"/>
      <c r="C412" s="1"/>
      <c r="D412" s="1"/>
      <c r="E412" s="1"/>
    </row>
    <row r="413" spans="1:5">
      <c r="A413" s="1"/>
      <c r="B413" s="1"/>
      <c r="C413" s="1"/>
      <c r="D413" s="1"/>
      <c r="E413" s="1"/>
    </row>
    <row r="414" spans="1:5">
      <c r="A414" s="1"/>
      <c r="B414" s="1"/>
      <c r="C414" s="1"/>
      <c r="D414" s="1"/>
      <c r="E414" s="1"/>
    </row>
    <row r="415" spans="1:5">
      <c r="A415" s="1"/>
      <c r="B415" s="1"/>
      <c r="C415" s="1"/>
      <c r="D415" s="1"/>
      <c r="E415" s="1"/>
    </row>
    <row r="416" spans="1:5">
      <c r="A416" s="1"/>
      <c r="B416" s="1"/>
      <c r="C416" s="1"/>
      <c r="D416" s="1"/>
      <c r="E416" s="1"/>
    </row>
    <row r="417" spans="1:5">
      <c r="A417" s="1"/>
      <c r="B417" s="1"/>
      <c r="C417" s="1"/>
      <c r="D417" s="1"/>
      <c r="E417" s="1"/>
    </row>
    <row r="418" spans="1:5">
      <c r="A418" s="1"/>
      <c r="B418" s="1"/>
      <c r="C418" s="1"/>
      <c r="D418" s="1"/>
      <c r="E418" s="1"/>
    </row>
    <row r="419" spans="1:5">
      <c r="A419" s="1"/>
      <c r="B419" s="1"/>
      <c r="C419" s="1"/>
      <c r="D419" s="1"/>
      <c r="E419" s="1"/>
    </row>
    <row r="420" spans="1:5">
      <c r="A420" s="1"/>
      <c r="B420" s="1"/>
      <c r="C420" s="1"/>
      <c r="D420" s="1"/>
      <c r="E420" s="1"/>
    </row>
    <row r="421" spans="1:5">
      <c r="A421" s="1"/>
      <c r="B421" s="1"/>
      <c r="C421" s="1"/>
      <c r="D421" s="1"/>
      <c r="E421" s="1"/>
    </row>
    <row r="422" spans="1:5">
      <c r="A422" s="1"/>
      <c r="B422" s="1"/>
      <c r="C422" s="1"/>
      <c r="D422" s="1"/>
      <c r="E422" s="1"/>
    </row>
    <row r="423" spans="1:5">
      <c r="A423" s="1"/>
      <c r="B423" s="1"/>
      <c r="C423" s="1"/>
      <c r="D423" s="1"/>
      <c r="E423" s="1"/>
    </row>
    <row r="424" spans="1:5">
      <c r="A424" s="1"/>
      <c r="B424" s="1"/>
      <c r="C424" s="1"/>
      <c r="D424" s="1"/>
      <c r="E424" s="1"/>
    </row>
    <row r="425" spans="1:5">
      <c r="A425" s="1"/>
      <c r="B425" s="1"/>
      <c r="C425" s="1"/>
      <c r="D425" s="1"/>
      <c r="E425" s="1"/>
    </row>
    <row r="426" spans="1:5">
      <c r="A426" s="1"/>
      <c r="B426" s="1"/>
      <c r="C426" s="1"/>
      <c r="D426" s="1"/>
      <c r="E426" s="1"/>
    </row>
    <row r="427" spans="1:5">
      <c r="A427" s="1"/>
      <c r="B427" s="1"/>
      <c r="C427" s="1"/>
      <c r="D427" s="1"/>
      <c r="E427" s="1"/>
    </row>
    <row r="428" spans="1:5">
      <c r="A428" s="1"/>
      <c r="B428" s="1"/>
      <c r="C428" s="1"/>
      <c r="D428" s="1"/>
      <c r="E428" s="1"/>
    </row>
    <row r="429" spans="1:5">
      <c r="A429" s="1"/>
      <c r="B429" s="1"/>
      <c r="C429" s="1"/>
      <c r="D429" s="1"/>
      <c r="E429" s="1"/>
    </row>
    <row r="430" spans="1:5">
      <c r="A430" s="1"/>
      <c r="B430" s="1"/>
      <c r="C430" s="1"/>
      <c r="D430" s="1"/>
      <c r="E430" s="1"/>
    </row>
    <row r="431" spans="1:5">
      <c r="A431" s="1"/>
      <c r="B431" s="1"/>
      <c r="C431" s="1"/>
      <c r="D431" s="1"/>
      <c r="E431" s="1"/>
    </row>
    <row r="432" spans="1:5">
      <c r="A432" s="1"/>
      <c r="B432" s="1"/>
      <c r="C432" s="1"/>
      <c r="D432" s="1"/>
      <c r="E432" s="1"/>
    </row>
    <row r="433" spans="1:5">
      <c r="A433" s="1"/>
      <c r="B433" s="1"/>
      <c r="C433" s="1"/>
      <c r="D433" s="1"/>
      <c r="E433" s="1"/>
    </row>
    <row r="434" spans="1:5">
      <c r="A434" s="1"/>
      <c r="B434" s="1"/>
      <c r="C434" s="1"/>
      <c r="D434" s="1"/>
      <c r="E434" s="1"/>
    </row>
    <row r="435" spans="1:5">
      <c r="A435" s="1"/>
      <c r="B435" s="1"/>
      <c r="C435" s="1"/>
      <c r="D435" s="1"/>
      <c r="E435" s="1"/>
    </row>
    <row r="436" spans="1:5">
      <c r="A436" s="1"/>
      <c r="B436" s="1"/>
      <c r="C436" s="1"/>
      <c r="D436" s="1"/>
      <c r="E436" s="1"/>
    </row>
    <row r="437" spans="1:5">
      <c r="A437" s="1"/>
      <c r="B437" s="1"/>
      <c r="C437" s="1"/>
      <c r="D437" s="1"/>
      <c r="E437" s="1"/>
    </row>
    <row r="438" spans="1:5">
      <c r="A438" s="1"/>
      <c r="B438" s="1"/>
      <c r="C438" s="1"/>
      <c r="D438" s="1"/>
      <c r="E438" s="1"/>
    </row>
    <row r="439" spans="1:5">
      <c r="A439" s="1"/>
      <c r="B439" s="1"/>
      <c r="C439" s="1"/>
      <c r="D439" s="1"/>
      <c r="E439" s="1"/>
    </row>
    <row r="440" spans="1:5">
      <c r="A440" s="1"/>
      <c r="B440" s="1"/>
      <c r="C440" s="1"/>
      <c r="D440" s="1"/>
      <c r="E440" s="1"/>
    </row>
    <row r="441" spans="1:5">
      <c r="A441" s="1"/>
      <c r="B441" s="1"/>
      <c r="C441" s="1"/>
      <c r="D441" s="1"/>
      <c r="E441" s="1"/>
    </row>
    <row r="442" spans="1:5">
      <c r="A442" s="1"/>
      <c r="B442" s="1"/>
      <c r="C442" s="1"/>
      <c r="D442" s="1"/>
      <c r="E442" s="1"/>
    </row>
    <row r="443" spans="1:5">
      <c r="A443" s="1"/>
      <c r="B443" s="1"/>
      <c r="C443" s="1"/>
      <c r="D443" s="1"/>
      <c r="E443" s="1"/>
    </row>
    <row r="444" spans="1:5">
      <c r="A444" s="1"/>
      <c r="B444" s="1"/>
      <c r="C444" s="1"/>
      <c r="D444" s="1"/>
      <c r="E444" s="1"/>
    </row>
    <row r="445" spans="1:5">
      <c r="A445" s="1"/>
      <c r="B445" s="1"/>
      <c r="C445" s="1"/>
      <c r="D445" s="1"/>
      <c r="E445" s="1"/>
    </row>
    <row r="446" spans="1:5">
      <c r="A446" s="1"/>
      <c r="B446" s="1"/>
      <c r="C446" s="1"/>
      <c r="D446" s="1"/>
      <c r="E446" s="1"/>
    </row>
    <row r="447" spans="1:5">
      <c r="A447" s="1"/>
      <c r="B447" s="1"/>
      <c r="C447" s="1"/>
      <c r="D447" s="1"/>
      <c r="E447" s="1"/>
    </row>
    <row r="448" spans="1:5">
      <c r="A448" s="1"/>
      <c r="B448" s="1"/>
      <c r="C448" s="1"/>
      <c r="D448" s="1"/>
      <c r="E448" s="1"/>
    </row>
    <row r="449" spans="1:5">
      <c r="A449" s="1"/>
      <c r="B449" s="1"/>
      <c r="C449" s="1"/>
      <c r="D449" s="1"/>
      <c r="E449" s="1"/>
    </row>
    <row r="450" spans="1:5">
      <c r="A450" s="1"/>
      <c r="B450" s="1"/>
      <c r="C450" s="1"/>
      <c r="D450" s="1"/>
      <c r="E450" s="1"/>
    </row>
    <row r="451" spans="1:5">
      <c r="A451" s="1"/>
      <c r="B451" s="1"/>
      <c r="C451" s="1"/>
      <c r="D451" s="1"/>
      <c r="E451" s="1"/>
    </row>
    <row r="452" spans="1:5">
      <c r="A452" s="1"/>
      <c r="B452" s="1"/>
      <c r="C452" s="1"/>
      <c r="D452" s="1"/>
      <c r="E452" s="1"/>
    </row>
    <row r="453" spans="1:5">
      <c r="A453" s="1"/>
      <c r="B453" s="1"/>
      <c r="C453" s="1"/>
      <c r="D453" s="1"/>
      <c r="E453" s="1"/>
    </row>
    <row r="454" spans="1:5">
      <c r="A454" s="1"/>
      <c r="B454" s="1"/>
      <c r="C454" s="1"/>
      <c r="D454" s="1"/>
      <c r="E454" s="1"/>
    </row>
    <row r="455" spans="1:5">
      <c r="A455" s="1"/>
      <c r="B455" s="1"/>
      <c r="C455" s="1"/>
      <c r="D455" s="1"/>
      <c r="E455" s="1"/>
    </row>
    <row r="456" spans="1:5">
      <c r="A456" s="1"/>
      <c r="B456" s="1"/>
      <c r="C456" s="1"/>
      <c r="D456" s="1"/>
      <c r="E456" s="1"/>
    </row>
    <row r="457" spans="1:5">
      <c r="A457" s="1"/>
      <c r="B457" s="1"/>
      <c r="C457" s="1"/>
      <c r="D457" s="1"/>
      <c r="E457" s="1"/>
    </row>
    <row r="458" spans="1:5">
      <c r="A458" s="1"/>
      <c r="B458" s="1"/>
      <c r="C458" s="1"/>
      <c r="D458" s="1"/>
      <c r="E458" s="1"/>
    </row>
    <row r="459" spans="1:5">
      <c r="A459" s="1"/>
      <c r="B459" s="1"/>
      <c r="C459" s="1"/>
      <c r="D459" s="1"/>
      <c r="E459" s="1"/>
    </row>
    <row r="460" spans="1:5">
      <c r="A460" s="1"/>
      <c r="B460" s="1"/>
      <c r="C460" s="1"/>
      <c r="D460" s="1"/>
      <c r="E460" s="1"/>
    </row>
    <row r="461" spans="1:5">
      <c r="A461" s="1"/>
      <c r="B461" s="1"/>
      <c r="C461" s="1"/>
      <c r="D461" s="1"/>
      <c r="E461" s="1"/>
    </row>
    <row r="462" spans="1:5">
      <c r="A462" s="1"/>
      <c r="B462" s="1"/>
      <c r="C462" s="1"/>
      <c r="D462" s="1"/>
      <c r="E462" s="1"/>
    </row>
    <row r="463" spans="1:5">
      <c r="A463" s="1"/>
      <c r="B463" s="1"/>
      <c r="C463" s="1"/>
      <c r="D463" s="1"/>
      <c r="E463" s="1"/>
    </row>
    <row r="464" spans="1:5">
      <c r="A464" s="1"/>
      <c r="B464" s="1"/>
      <c r="C464" s="1"/>
      <c r="D464" s="1"/>
      <c r="E464" s="1"/>
    </row>
    <row r="465" spans="1:5">
      <c r="A465" s="1"/>
      <c r="B465" s="1"/>
      <c r="C465" s="1"/>
      <c r="D465" s="1"/>
      <c r="E465" s="1"/>
    </row>
    <row r="466" spans="1:5">
      <c r="A466" s="1"/>
      <c r="B466" s="1"/>
      <c r="C466" s="1"/>
      <c r="D466" s="1"/>
      <c r="E466" s="1"/>
    </row>
    <row r="467" spans="1:5">
      <c r="A467" s="1"/>
      <c r="B467" s="1"/>
      <c r="C467" s="1"/>
      <c r="D467" s="1"/>
      <c r="E467" s="1"/>
    </row>
    <row r="468" spans="1:5">
      <c r="A468" s="1"/>
      <c r="B468" s="1"/>
      <c r="C468" s="1"/>
      <c r="D468" s="1"/>
      <c r="E468" s="1"/>
    </row>
    <row r="469" spans="1:5">
      <c r="A469" s="1"/>
      <c r="B469" s="1"/>
      <c r="C469" s="1"/>
      <c r="D469" s="1"/>
      <c r="E469" s="1"/>
    </row>
    <row r="470" spans="1:5">
      <c r="A470" s="1"/>
      <c r="B470" s="1"/>
      <c r="C470" s="1"/>
      <c r="D470" s="1"/>
      <c r="E470" s="1"/>
    </row>
    <row r="471" spans="1:5">
      <c r="A471" s="1"/>
      <c r="B471" s="1"/>
      <c r="C471" s="1"/>
      <c r="D471" s="1"/>
      <c r="E471" s="1"/>
    </row>
    <row r="472" spans="1:5">
      <c r="A472" s="1"/>
      <c r="B472" s="1"/>
      <c r="C472" s="1"/>
      <c r="D472" s="1"/>
      <c r="E472" s="1"/>
    </row>
    <row r="473" spans="1:5">
      <c r="A473" s="1"/>
      <c r="B473" s="1"/>
      <c r="C473" s="1"/>
      <c r="D473" s="1"/>
      <c r="E473" s="1"/>
    </row>
    <row r="474" spans="1:5">
      <c r="A474" s="1"/>
      <c r="B474" s="1"/>
      <c r="C474" s="1"/>
      <c r="D474" s="1"/>
      <c r="E474" s="1"/>
    </row>
    <row r="475" spans="1:5">
      <c r="A475" s="1"/>
      <c r="B475" s="1"/>
      <c r="C475" s="1"/>
      <c r="D475" s="1"/>
      <c r="E475" s="1"/>
    </row>
    <row r="476" spans="1:5">
      <c r="A476" s="1"/>
      <c r="B476" s="1"/>
      <c r="C476" s="1"/>
      <c r="D476" s="1"/>
      <c r="E476" s="1"/>
    </row>
    <row r="477" spans="1:5">
      <c r="A477" s="1"/>
      <c r="B477" s="1"/>
      <c r="C477" s="1"/>
      <c r="D477" s="1"/>
      <c r="E477" s="1"/>
    </row>
    <row r="478" spans="1:5">
      <c r="A478" s="1"/>
      <c r="B478" s="1"/>
      <c r="C478" s="1"/>
      <c r="D478" s="1"/>
      <c r="E478" s="1"/>
    </row>
    <row r="479" spans="1:5">
      <c r="A479" s="1"/>
      <c r="B479" s="1"/>
      <c r="C479" s="1"/>
      <c r="D479" s="1"/>
      <c r="E479" s="1"/>
    </row>
    <row r="480" spans="1:5">
      <c r="A480" s="1"/>
      <c r="B480" s="1"/>
      <c r="C480" s="1"/>
      <c r="D480" s="1"/>
      <c r="E480" s="1"/>
    </row>
    <row r="481" spans="1:5">
      <c r="A481" s="1"/>
      <c r="B481" s="1"/>
      <c r="C481" s="1"/>
      <c r="D481" s="1"/>
      <c r="E481" s="1"/>
    </row>
    <row r="482" spans="1:5">
      <c r="A482" s="1"/>
      <c r="B482" s="1"/>
      <c r="C482" s="1"/>
      <c r="D482" s="1"/>
      <c r="E482" s="1"/>
    </row>
    <row r="483" spans="1:5">
      <c r="A483" s="1"/>
      <c r="B483" s="1"/>
      <c r="C483" s="1"/>
      <c r="D483" s="1"/>
      <c r="E483" s="1"/>
    </row>
    <row r="484" spans="1:5">
      <c r="A484" s="1"/>
      <c r="B484" s="1"/>
      <c r="C484" s="1"/>
      <c r="D484" s="1"/>
      <c r="E484" s="1"/>
    </row>
    <row r="485" spans="1:5">
      <c r="A485" s="1"/>
      <c r="B485" s="1"/>
      <c r="C485" s="1"/>
      <c r="D485" s="1"/>
      <c r="E485" s="1"/>
    </row>
    <row r="486" spans="1:5">
      <c r="A486" s="1"/>
      <c r="B486" s="1"/>
      <c r="C486" s="1"/>
      <c r="D486" s="1"/>
      <c r="E486" s="1"/>
    </row>
    <row r="487" spans="1:5">
      <c r="A487" s="1"/>
      <c r="B487" s="1"/>
      <c r="C487" s="1"/>
      <c r="D487" s="1"/>
      <c r="E487" s="1"/>
    </row>
    <row r="488" spans="1:5">
      <c r="A488" s="1"/>
      <c r="B488" s="1"/>
      <c r="C488" s="1"/>
      <c r="D488" s="1"/>
      <c r="E488" s="1"/>
    </row>
    <row r="489" spans="1:5">
      <c r="A489" s="1"/>
      <c r="B489" s="1"/>
      <c r="C489" s="1"/>
      <c r="D489" s="1"/>
      <c r="E489" s="1"/>
    </row>
    <row r="490" spans="1:5">
      <c r="A490" s="1"/>
      <c r="B490" s="1"/>
      <c r="C490" s="1"/>
      <c r="D490" s="1"/>
      <c r="E490" s="1"/>
    </row>
    <row r="491" spans="1:5">
      <c r="A491" s="1"/>
      <c r="B491" s="1"/>
      <c r="C491" s="1"/>
      <c r="D491" s="1"/>
      <c r="E491" s="1"/>
    </row>
    <row r="492" spans="1:5">
      <c r="A492" s="1"/>
      <c r="B492" s="1"/>
      <c r="C492" s="1"/>
      <c r="D492" s="1"/>
      <c r="E492" s="1"/>
    </row>
    <row r="493" spans="1:5">
      <c r="A493" s="1"/>
      <c r="B493" s="1"/>
      <c r="C493" s="1"/>
      <c r="D493" s="1"/>
      <c r="E493" s="1"/>
    </row>
    <row r="494" spans="1:5">
      <c r="A494" s="1"/>
      <c r="B494" s="1"/>
      <c r="C494" s="1"/>
      <c r="D494" s="1"/>
      <c r="E494" s="1"/>
    </row>
    <row r="495" spans="1:5">
      <c r="A495" s="1"/>
      <c r="B495" s="1"/>
      <c r="C495" s="1"/>
      <c r="D495" s="1"/>
      <c r="E495" s="1"/>
    </row>
    <row r="496" spans="1:5">
      <c r="A496" s="1"/>
      <c r="B496" s="1"/>
      <c r="C496" s="1"/>
      <c r="D496" s="1"/>
      <c r="E496" s="1"/>
    </row>
    <row r="497" spans="1:5">
      <c r="A497" s="1"/>
      <c r="B497" s="1"/>
      <c r="C497" s="1"/>
      <c r="D497" s="1"/>
      <c r="E497" s="1"/>
    </row>
    <row r="498" spans="1:5">
      <c r="A498" s="1"/>
      <c r="B498" s="1"/>
      <c r="C498" s="1"/>
      <c r="D498" s="1"/>
      <c r="E498" s="1"/>
    </row>
    <row r="499" spans="1:5">
      <c r="A499" s="1"/>
      <c r="B499" s="1"/>
      <c r="C499" s="1"/>
      <c r="D499" s="1"/>
      <c r="E499" s="1"/>
    </row>
    <row r="500" spans="1:5">
      <c r="A500" s="1"/>
      <c r="B500" s="1"/>
      <c r="C500" s="1"/>
      <c r="D500" s="1"/>
      <c r="E500" s="1"/>
    </row>
    <row r="501" spans="1:5">
      <c r="A501" s="1"/>
      <c r="B501" s="1"/>
      <c r="C501" s="1"/>
      <c r="D501" s="1"/>
      <c r="E501" s="1"/>
    </row>
    <row r="502" spans="1:5">
      <c r="A502" s="1"/>
      <c r="B502" s="1"/>
      <c r="C502" s="1"/>
      <c r="D502" s="1"/>
      <c r="E502" s="1"/>
    </row>
    <row r="503" spans="1:5">
      <c r="A503" s="1"/>
      <c r="B503" s="1"/>
      <c r="C503" s="1"/>
      <c r="D503" s="1"/>
      <c r="E503" s="1"/>
    </row>
    <row r="504" spans="1:5">
      <c r="A504" s="1"/>
      <c r="B504" s="1"/>
      <c r="C504" s="1"/>
      <c r="D504" s="1"/>
      <c r="E504" s="1"/>
    </row>
    <row r="505" spans="1:5">
      <c r="A505" s="1"/>
      <c r="B505" s="1"/>
      <c r="C505" s="1"/>
      <c r="D505" s="1"/>
      <c r="E505" s="1"/>
    </row>
    <row r="506" spans="1:5">
      <c r="A506" s="1"/>
      <c r="B506" s="1"/>
      <c r="C506" s="1"/>
      <c r="D506" s="1"/>
      <c r="E506" s="1"/>
    </row>
    <row r="507" spans="1:5">
      <c r="A507" s="1"/>
      <c r="B507" s="1"/>
      <c r="C507" s="1"/>
      <c r="D507" s="1"/>
      <c r="E507" s="1"/>
    </row>
    <row r="508" spans="1:5">
      <c r="A508" s="1"/>
      <c r="B508" s="1"/>
      <c r="C508" s="1"/>
      <c r="D508" s="1"/>
      <c r="E508" s="1"/>
    </row>
    <row r="509" spans="1:5">
      <c r="A509" s="1"/>
      <c r="B509" s="1"/>
      <c r="C509" s="1"/>
      <c r="D509" s="1"/>
      <c r="E509" s="1"/>
    </row>
    <row r="510" spans="1:5">
      <c r="A510" s="1"/>
      <c r="B510" s="1"/>
      <c r="C510" s="1"/>
      <c r="D510" s="1"/>
      <c r="E510" s="1"/>
    </row>
    <row r="511" spans="1:5">
      <c r="A511" s="1"/>
      <c r="B511" s="1"/>
      <c r="C511" s="1"/>
      <c r="D511" s="1"/>
      <c r="E511" s="1"/>
    </row>
    <row r="512" spans="1:5">
      <c r="A512" s="1"/>
      <c r="B512" s="1"/>
      <c r="C512" s="1"/>
      <c r="D512" s="1"/>
      <c r="E512" s="1"/>
    </row>
    <row r="513" spans="1:5">
      <c r="A513" s="1"/>
      <c r="B513" s="1"/>
      <c r="C513" s="1"/>
      <c r="D513" s="1"/>
      <c r="E513" s="1"/>
    </row>
    <row r="514" spans="1:5">
      <c r="A514" s="1"/>
      <c r="B514" s="1"/>
      <c r="C514" s="1"/>
      <c r="D514" s="1"/>
      <c r="E514" s="1"/>
    </row>
    <row r="515" spans="1:5">
      <c r="A515" s="1"/>
      <c r="B515" s="1"/>
      <c r="C515" s="1"/>
      <c r="D515" s="1"/>
      <c r="E515" s="1"/>
    </row>
    <row r="516" spans="1:5">
      <c r="A516" s="1"/>
      <c r="B516" s="1"/>
      <c r="C516" s="1"/>
      <c r="D516" s="1"/>
      <c r="E516" s="1"/>
    </row>
    <row r="517" spans="1:5">
      <c r="A517" s="1"/>
      <c r="B517" s="1"/>
      <c r="C517" s="1"/>
      <c r="D517" s="1"/>
      <c r="E517" s="1"/>
    </row>
    <row r="518" spans="1:5">
      <c r="A518" s="1"/>
      <c r="B518" s="1"/>
      <c r="C518" s="1"/>
      <c r="D518" s="1"/>
      <c r="E518" s="1"/>
    </row>
    <row r="519" spans="1:5">
      <c r="A519" s="1"/>
      <c r="B519" s="1"/>
      <c r="C519" s="1"/>
      <c r="D519" s="1"/>
      <c r="E519" s="1"/>
    </row>
    <row r="520" spans="1:5">
      <c r="A520" s="1"/>
      <c r="B520" s="1"/>
      <c r="C520" s="1"/>
      <c r="D520" s="1"/>
      <c r="E520" s="1"/>
    </row>
    <row r="521" spans="1:5">
      <c r="A521" s="1"/>
      <c r="B521" s="1"/>
      <c r="C521" s="1"/>
      <c r="D521" s="1"/>
      <c r="E521" s="1"/>
    </row>
    <row r="522" spans="1:5">
      <c r="A522" s="1"/>
      <c r="B522" s="1"/>
      <c r="C522" s="1"/>
      <c r="D522" s="1"/>
      <c r="E522" s="1"/>
    </row>
    <row r="523" spans="1:5">
      <c r="A523" s="1"/>
      <c r="B523" s="1"/>
      <c r="C523" s="1"/>
      <c r="D523" s="1"/>
      <c r="E523" s="1"/>
    </row>
    <row r="524" spans="1:5">
      <c r="A524" s="1"/>
      <c r="B524" s="1"/>
      <c r="C524" s="1"/>
      <c r="D524" s="1"/>
      <c r="E524" s="1"/>
    </row>
    <row r="525" spans="1:5">
      <c r="A525" s="1"/>
      <c r="B525" s="1"/>
      <c r="C525" s="1"/>
      <c r="D525" s="1"/>
      <c r="E525" s="1"/>
    </row>
    <row r="526" spans="1:5">
      <c r="A526" s="1"/>
      <c r="B526" s="1"/>
      <c r="C526" s="1"/>
      <c r="D526" s="1"/>
      <c r="E526" s="1"/>
    </row>
    <row r="527" spans="1:5">
      <c r="A527" s="1"/>
      <c r="B527" s="1"/>
      <c r="C527" s="1"/>
      <c r="D527" s="1"/>
      <c r="E527" s="1"/>
    </row>
    <row r="528" spans="1:5">
      <c r="A528" s="1"/>
      <c r="B528" s="1"/>
      <c r="C528" s="1"/>
      <c r="D528" s="1"/>
      <c r="E528" s="1"/>
    </row>
    <row r="529" spans="1:5">
      <c r="A529" s="1"/>
      <c r="B529" s="1"/>
      <c r="C529" s="1"/>
      <c r="D529" s="1"/>
      <c r="E529" s="1"/>
    </row>
    <row r="530" spans="1:5">
      <c r="A530" s="1"/>
      <c r="B530" s="1"/>
      <c r="C530" s="1"/>
      <c r="D530" s="1"/>
      <c r="E530" s="1"/>
    </row>
    <row r="531" spans="1:5">
      <c r="A531" s="1"/>
      <c r="B531" s="1"/>
      <c r="C531" s="1"/>
      <c r="D531" s="1"/>
      <c r="E531" s="1"/>
    </row>
    <row r="532" spans="1:5">
      <c r="A532" s="1"/>
      <c r="B532" s="1"/>
      <c r="C532" s="1"/>
      <c r="D532" s="1"/>
      <c r="E532" s="1"/>
    </row>
    <row r="533" spans="1:5">
      <c r="A533" s="1"/>
      <c r="B533" s="1"/>
      <c r="C533" s="1"/>
      <c r="D533" s="1"/>
      <c r="E533" s="1"/>
    </row>
    <row r="534" spans="1:5">
      <c r="A534" s="1"/>
      <c r="B534" s="1"/>
      <c r="C534" s="1"/>
      <c r="D534" s="1"/>
      <c r="E534" s="1"/>
    </row>
    <row r="535" spans="1:5">
      <c r="A535" s="1"/>
      <c r="B535" s="1"/>
      <c r="C535" s="1"/>
      <c r="D535" s="1"/>
      <c r="E535" s="1"/>
    </row>
    <row r="536" spans="1:5">
      <c r="A536" s="1"/>
      <c r="B536" s="1"/>
      <c r="C536" s="1"/>
      <c r="D536" s="1"/>
      <c r="E536" s="1"/>
    </row>
    <row r="537" spans="1:5">
      <c r="A537" s="1"/>
      <c r="B537" s="1"/>
      <c r="C537" s="1"/>
      <c r="D537" s="1"/>
      <c r="E537" s="1"/>
    </row>
    <row r="538" spans="1:5">
      <c r="A538" s="1"/>
      <c r="B538" s="1"/>
      <c r="C538" s="1"/>
      <c r="D538" s="1"/>
      <c r="E538" s="1"/>
    </row>
    <row r="539" spans="1:5">
      <c r="A539" s="1"/>
      <c r="B539" s="1"/>
      <c r="C539" s="1"/>
      <c r="D539" s="1"/>
      <c r="E539" s="1"/>
    </row>
    <row r="540" spans="1:5">
      <c r="A540" s="1"/>
      <c r="B540" s="1"/>
      <c r="C540" s="1"/>
      <c r="D540" s="1"/>
      <c r="E540" s="1"/>
    </row>
    <row r="541" spans="1:5">
      <c r="A541" s="1"/>
      <c r="B541" s="1"/>
      <c r="C541" s="1"/>
      <c r="D541" s="1"/>
      <c r="E541" s="1"/>
    </row>
    <row r="542" spans="1:5">
      <c r="A542" s="1"/>
      <c r="B542" s="1"/>
      <c r="C542" s="1"/>
      <c r="D542" s="1"/>
      <c r="E542" s="1"/>
    </row>
    <row r="543" spans="1:5">
      <c r="A543" s="1"/>
      <c r="B543" s="1"/>
      <c r="C543" s="1"/>
      <c r="D543" s="1"/>
      <c r="E543" s="1"/>
    </row>
    <row r="544" spans="1:5">
      <c r="A544" s="1"/>
      <c r="B544" s="1"/>
      <c r="C544" s="1"/>
      <c r="D544" s="1"/>
      <c r="E544" s="1"/>
    </row>
    <row r="545" spans="1:5">
      <c r="A545" s="1"/>
      <c r="B545" s="1"/>
      <c r="C545" s="1"/>
      <c r="D545" s="1"/>
      <c r="E545" s="1"/>
    </row>
    <row r="546" spans="1:5">
      <c r="A546" s="1"/>
      <c r="B546" s="1"/>
      <c r="C546" s="1"/>
      <c r="D546" s="1"/>
      <c r="E546" s="1"/>
    </row>
    <row r="547" spans="1:5">
      <c r="A547" s="1"/>
      <c r="B547" s="1"/>
      <c r="C547" s="1"/>
      <c r="D547" s="1"/>
      <c r="E547" s="1"/>
    </row>
    <row r="548" spans="1:5">
      <c r="A548" s="1"/>
      <c r="B548" s="1"/>
      <c r="C548" s="1"/>
      <c r="D548" s="1"/>
      <c r="E548" s="1"/>
    </row>
    <row r="549" spans="1:5">
      <c r="A549" s="1"/>
      <c r="B549" s="1"/>
      <c r="C549" s="1"/>
      <c r="D549" s="1"/>
      <c r="E549" s="1"/>
    </row>
    <row r="550" spans="1:5">
      <c r="A550" s="1"/>
      <c r="B550" s="1"/>
      <c r="C550" s="1"/>
      <c r="D550" s="1"/>
      <c r="E550" s="1"/>
    </row>
    <row r="551" spans="1:5">
      <c r="A551" s="1"/>
      <c r="B551" s="1"/>
      <c r="C551" s="1"/>
      <c r="D551" s="1"/>
      <c r="E551" s="1"/>
    </row>
    <row r="552" spans="1:5">
      <c r="A552" s="1"/>
      <c r="B552" s="1"/>
      <c r="C552" s="1"/>
      <c r="D552" s="1"/>
      <c r="E552" s="1"/>
    </row>
    <row r="553" spans="1:5">
      <c r="A553" s="1"/>
      <c r="B553" s="1"/>
      <c r="C553" s="1"/>
      <c r="D553" s="1"/>
      <c r="E553" s="1"/>
    </row>
    <row r="554" spans="1:5">
      <c r="A554" s="1"/>
      <c r="B554" s="1"/>
      <c r="C554" s="1"/>
      <c r="D554" s="1"/>
      <c r="E554" s="1"/>
    </row>
    <row r="555" spans="1:5">
      <c r="A555" s="1"/>
      <c r="B555" s="1"/>
      <c r="C555" s="1"/>
      <c r="D555" s="1"/>
      <c r="E555" s="1"/>
    </row>
    <row r="556" spans="1:5">
      <c r="A556" s="1"/>
      <c r="B556" s="1"/>
      <c r="C556" s="1"/>
      <c r="D556" s="1"/>
      <c r="E556" s="1"/>
    </row>
    <row r="557" spans="1:5">
      <c r="A557" s="1"/>
      <c r="B557" s="1"/>
      <c r="C557" s="1"/>
      <c r="D557" s="1"/>
      <c r="E557" s="1"/>
    </row>
    <row r="558" spans="1:5">
      <c r="A558" s="1"/>
      <c r="B558" s="1"/>
      <c r="C558" s="1"/>
      <c r="D558" s="1"/>
      <c r="E558" s="1"/>
    </row>
    <row r="559" spans="1:5">
      <c r="A559" s="1"/>
      <c r="B559" s="1"/>
      <c r="C559" s="1"/>
      <c r="D559" s="1"/>
      <c r="E559" s="1"/>
    </row>
    <row r="560" spans="1:5">
      <c r="A560" s="1"/>
      <c r="B560" s="1"/>
      <c r="C560" s="1"/>
      <c r="D560" s="1"/>
      <c r="E560" s="1"/>
    </row>
    <row r="561" spans="1:5">
      <c r="A561" s="1"/>
      <c r="B561" s="1"/>
      <c r="C561" s="1"/>
      <c r="D561" s="1"/>
      <c r="E561" s="1"/>
    </row>
    <row r="562" spans="1:5">
      <c r="A562" s="1"/>
      <c r="B562" s="1"/>
      <c r="C562" s="1"/>
      <c r="D562" s="1"/>
      <c r="E562" s="1"/>
    </row>
    <row r="563" spans="1:5">
      <c r="A563" s="1"/>
      <c r="B563" s="1"/>
      <c r="C563" s="1"/>
      <c r="D563" s="1"/>
      <c r="E563" s="1"/>
    </row>
    <row r="564" spans="1:5">
      <c r="A564" s="1"/>
      <c r="B564" s="1"/>
      <c r="C564" s="1"/>
      <c r="D564" s="1"/>
      <c r="E564" s="1"/>
    </row>
    <row r="565" spans="1:5">
      <c r="A565" s="1"/>
      <c r="B565" s="1"/>
      <c r="C565" s="1"/>
      <c r="D565" s="1"/>
      <c r="E565" s="1"/>
    </row>
    <row r="566" spans="1:5">
      <c r="A566" s="1"/>
      <c r="B566" s="1"/>
      <c r="C566" s="1"/>
      <c r="D566" s="1"/>
      <c r="E566" s="1"/>
    </row>
    <row r="567" spans="1:5">
      <c r="A567" s="1"/>
      <c r="B567" s="1"/>
      <c r="C567" s="1"/>
      <c r="D567" s="1"/>
      <c r="E567" s="1"/>
    </row>
    <row r="568" spans="1:5">
      <c r="A568" s="1"/>
      <c r="B568" s="1"/>
      <c r="C568" s="1"/>
      <c r="D568" s="1"/>
      <c r="E568" s="1"/>
    </row>
    <row r="569" spans="1:5">
      <c r="A569" s="1"/>
      <c r="B569" s="1"/>
      <c r="C569" s="1"/>
      <c r="D569" s="1"/>
      <c r="E569" s="1"/>
    </row>
    <row r="570" spans="1:5">
      <c r="A570" s="1"/>
      <c r="B570" s="1"/>
      <c r="C570" s="1"/>
      <c r="D570" s="1"/>
      <c r="E570" s="1"/>
    </row>
    <row r="571" spans="1:5">
      <c r="A571" s="1"/>
      <c r="B571" s="1"/>
      <c r="C571" s="1"/>
      <c r="D571" s="1"/>
      <c r="E571" s="1"/>
    </row>
    <row r="572" spans="1:5">
      <c r="A572" s="1"/>
      <c r="B572" s="1"/>
      <c r="C572" s="1"/>
      <c r="D572" s="1"/>
      <c r="E572" s="1"/>
    </row>
    <row r="573" spans="1:5">
      <c r="A573" s="1"/>
      <c r="B573" s="1"/>
      <c r="C573" s="1"/>
      <c r="D573" s="1"/>
      <c r="E573" s="1"/>
    </row>
    <row r="574" spans="1:5">
      <c r="A574" s="1"/>
      <c r="B574" s="1"/>
      <c r="C574" s="1"/>
      <c r="D574" s="1"/>
      <c r="E574" s="1"/>
    </row>
    <row r="575" spans="1:5">
      <c r="A575" s="1"/>
      <c r="B575" s="1"/>
      <c r="C575" s="1"/>
      <c r="D575" s="1"/>
      <c r="E575" s="1"/>
    </row>
    <row r="576" spans="1:5">
      <c r="A576" s="1"/>
      <c r="B576" s="1"/>
      <c r="C576" s="1"/>
      <c r="D576" s="1"/>
      <c r="E576" s="1"/>
    </row>
    <row r="577" spans="1:5">
      <c r="A577" s="1"/>
      <c r="B577" s="1"/>
      <c r="C577" s="1"/>
      <c r="D577" s="1"/>
      <c r="E577" s="1"/>
    </row>
    <row r="578" spans="1:5">
      <c r="A578" s="1"/>
      <c r="B578" s="1"/>
      <c r="C578" s="1"/>
      <c r="D578" s="1"/>
      <c r="E578" s="1"/>
    </row>
    <row r="579" spans="1:5">
      <c r="A579" s="1"/>
      <c r="B579" s="1"/>
      <c r="C579" s="1"/>
      <c r="D579" s="1"/>
      <c r="E579" s="1"/>
    </row>
    <row r="580" spans="1:5">
      <c r="A580" s="1"/>
      <c r="B580" s="1"/>
      <c r="C580" s="1"/>
      <c r="D580" s="1"/>
      <c r="E580" s="1"/>
    </row>
    <row r="581" spans="1:5">
      <c r="A581" s="1"/>
      <c r="B581" s="1"/>
      <c r="C581" s="1"/>
      <c r="D581" s="1"/>
      <c r="E581" s="1"/>
    </row>
    <row r="582" spans="1:5">
      <c r="A582" s="1"/>
      <c r="B582" s="1"/>
      <c r="C582" s="1"/>
      <c r="D582" s="1"/>
      <c r="E582" s="1"/>
    </row>
    <row r="583" spans="1:5">
      <c r="A583" s="1"/>
      <c r="B583" s="1"/>
      <c r="C583" s="1"/>
      <c r="D583" s="1"/>
      <c r="E583" s="1"/>
    </row>
    <row r="584" spans="1:5">
      <c r="A584" s="1"/>
      <c r="B584" s="1"/>
      <c r="C584" s="1"/>
      <c r="D584" s="1"/>
      <c r="E584" s="1"/>
    </row>
    <row r="585" spans="1:5">
      <c r="A585" s="1"/>
      <c r="B585" s="1"/>
      <c r="C585" s="1"/>
      <c r="D585" s="1"/>
      <c r="E585" s="1"/>
    </row>
    <row r="586" spans="1:5">
      <c r="A586" s="1"/>
      <c r="B586" s="1"/>
      <c r="C586" s="1"/>
      <c r="D586" s="1"/>
      <c r="E586" s="1"/>
    </row>
    <row r="587" spans="1:5">
      <c r="A587" s="1"/>
      <c r="B587" s="1"/>
      <c r="C587" s="1"/>
      <c r="D587" s="1"/>
      <c r="E587" s="1"/>
    </row>
    <row r="588" spans="1:5">
      <c r="A588" s="1"/>
      <c r="B588" s="1"/>
      <c r="C588" s="1"/>
      <c r="D588" s="1"/>
      <c r="E588" s="1"/>
    </row>
    <row r="589" spans="1:5">
      <c r="A589" s="1"/>
      <c r="B589" s="1"/>
      <c r="C589" s="1"/>
      <c r="D589" s="1"/>
      <c r="E589" s="1"/>
    </row>
    <row r="590" spans="1:5">
      <c r="A590" s="1"/>
      <c r="B590" s="1"/>
      <c r="C590" s="1"/>
      <c r="D590" s="1"/>
      <c r="E590" s="1"/>
    </row>
    <row r="591" spans="1:5">
      <c r="A591" s="1"/>
      <c r="B591" s="1"/>
      <c r="C591" s="1"/>
      <c r="D591" s="1"/>
      <c r="E591" s="1"/>
    </row>
    <row r="592" spans="1:5">
      <c r="A592" s="1"/>
      <c r="B592" s="1"/>
      <c r="C592" s="1"/>
      <c r="D592" s="1"/>
      <c r="E592" s="1"/>
    </row>
    <row r="593" spans="1:5">
      <c r="A593" s="1"/>
      <c r="B593" s="1"/>
      <c r="C593" s="1"/>
      <c r="D593" s="1"/>
      <c r="E593" s="1"/>
    </row>
    <row r="594" spans="1:5">
      <c r="A594" s="1"/>
      <c r="B594" s="1"/>
      <c r="C594" s="1"/>
      <c r="D594" s="1"/>
      <c r="E594" s="1"/>
    </row>
    <row r="595" spans="1:5">
      <c r="A595" s="1"/>
      <c r="B595" s="1"/>
      <c r="C595" s="1"/>
      <c r="D595" s="1"/>
      <c r="E595" s="1"/>
    </row>
    <row r="596" spans="1:5">
      <c r="A596" s="1"/>
      <c r="B596" s="1"/>
      <c r="C596" s="1"/>
      <c r="D596" s="1"/>
      <c r="E596" s="1"/>
    </row>
    <row r="597" spans="1:5">
      <c r="A597" s="1"/>
      <c r="B597" s="1"/>
      <c r="C597" s="1"/>
      <c r="D597" s="1"/>
      <c r="E597" s="1"/>
    </row>
    <row r="598" spans="1:5">
      <c r="A598" s="1"/>
      <c r="B598" s="1"/>
      <c r="C598" s="1"/>
      <c r="D598" s="1"/>
      <c r="E598" s="1"/>
    </row>
    <row r="599" spans="1:5">
      <c r="A599" s="1"/>
      <c r="B599" s="1"/>
      <c r="C599" s="1"/>
      <c r="D599" s="1"/>
      <c r="E599" s="1"/>
    </row>
    <row r="600" spans="1:5">
      <c r="A600" s="1"/>
      <c r="B600" s="1"/>
      <c r="C600" s="1"/>
      <c r="D600" s="1"/>
      <c r="E600" s="1"/>
    </row>
    <row r="601" spans="1:5">
      <c r="A601" s="1"/>
      <c r="B601" s="1"/>
      <c r="C601" s="1"/>
      <c r="D601" s="1"/>
      <c r="E601" s="1"/>
    </row>
    <row r="602" spans="1:5">
      <c r="A602" s="1"/>
      <c r="B602" s="1"/>
      <c r="C602" s="1"/>
      <c r="D602" s="1"/>
      <c r="E602" s="1"/>
    </row>
    <row r="603" spans="1:5">
      <c r="A603" s="1"/>
      <c r="B603" s="1"/>
      <c r="C603" s="1"/>
      <c r="D603" s="1"/>
      <c r="E603" s="1"/>
    </row>
    <row r="604" spans="1:5">
      <c r="A604" s="1"/>
      <c r="B604" s="1"/>
      <c r="C604" s="1"/>
      <c r="D604" s="1"/>
      <c r="E604" s="1"/>
    </row>
    <row r="605" spans="1:5">
      <c r="A605" s="1"/>
      <c r="B605" s="1"/>
      <c r="C605" s="1"/>
      <c r="D605" s="1"/>
      <c r="E605" s="1"/>
    </row>
    <row r="606" spans="1:5">
      <c r="A606" s="1"/>
      <c r="B606" s="1"/>
      <c r="C606" s="1"/>
      <c r="D606" s="1"/>
      <c r="E606" s="1"/>
    </row>
    <row r="607" spans="1:5">
      <c r="A607" s="1"/>
      <c r="B607" s="1"/>
      <c r="C607" s="1"/>
      <c r="D607" s="1"/>
      <c r="E607" s="1"/>
    </row>
    <row r="608" spans="1:5">
      <c r="A608" s="1"/>
      <c r="B608" s="1"/>
      <c r="C608" s="1"/>
      <c r="D608" s="1"/>
      <c r="E608" s="1"/>
    </row>
    <row r="609" spans="1:5">
      <c r="A609" s="1"/>
      <c r="B609" s="1"/>
      <c r="C609" s="1"/>
      <c r="D609" s="1"/>
      <c r="E609" s="1"/>
    </row>
    <row r="610" spans="1:5">
      <c r="A610" s="1"/>
      <c r="B610" s="1"/>
      <c r="C610" s="1"/>
      <c r="D610" s="1"/>
      <c r="E610" s="1"/>
    </row>
    <row r="611" spans="1:5">
      <c r="A611" s="1"/>
      <c r="B611" s="1"/>
      <c r="C611" s="1"/>
      <c r="D611" s="1"/>
      <c r="E611" s="1"/>
    </row>
    <row r="612" spans="1:5">
      <c r="A612" s="1"/>
      <c r="B612" s="1"/>
      <c r="C612" s="1"/>
      <c r="D612" s="1"/>
      <c r="E612" s="1"/>
    </row>
    <row r="613" spans="1:5">
      <c r="A613" s="1"/>
      <c r="B613" s="1"/>
      <c r="C613" s="1"/>
      <c r="D613" s="1"/>
      <c r="E613" s="1"/>
    </row>
    <row r="614" spans="1:5">
      <c r="A614" s="1"/>
      <c r="B614" s="1"/>
      <c r="C614" s="1"/>
      <c r="D614" s="1"/>
      <c r="E614" s="1"/>
    </row>
    <row r="615" spans="1:5">
      <c r="A615" s="1"/>
      <c r="B615" s="1"/>
      <c r="C615" s="1"/>
      <c r="D615" s="1"/>
      <c r="E615" s="1"/>
    </row>
    <row r="616" spans="1:5">
      <c r="A616" s="1"/>
      <c r="B616" s="1"/>
      <c r="C616" s="1"/>
      <c r="D616" s="1"/>
      <c r="E616" s="1"/>
    </row>
    <row r="617" spans="1:5">
      <c r="A617" s="1"/>
      <c r="B617" s="1"/>
      <c r="C617" s="1"/>
      <c r="D617" s="1"/>
      <c r="E617" s="1"/>
    </row>
    <row r="618" spans="1:5">
      <c r="A618" s="1"/>
      <c r="B618" s="1"/>
      <c r="C618" s="1"/>
      <c r="D618" s="1"/>
      <c r="E618" s="1"/>
    </row>
    <row r="619" spans="1:5">
      <c r="A619" s="1"/>
      <c r="B619" s="1"/>
      <c r="C619" s="1"/>
      <c r="D619" s="1"/>
      <c r="E619" s="1"/>
    </row>
    <row r="620" spans="1:5">
      <c r="A620" s="1"/>
      <c r="B620" s="1"/>
      <c r="C620" s="1"/>
      <c r="D620" s="1"/>
      <c r="E620" s="1"/>
    </row>
    <row r="621" spans="1:5">
      <c r="A621" s="1"/>
      <c r="B621" s="1"/>
      <c r="C621" s="1"/>
      <c r="D621" s="1"/>
      <c r="E621" s="1"/>
    </row>
    <row r="622" spans="1:5">
      <c r="A622" s="1"/>
      <c r="B622" s="1"/>
      <c r="C622" s="1"/>
      <c r="D622" s="1"/>
      <c r="E622" s="1"/>
    </row>
    <row r="623" spans="1:5">
      <c r="A623" s="1"/>
      <c r="B623" s="1"/>
      <c r="C623" s="1"/>
      <c r="D623" s="1"/>
      <c r="E623" s="1"/>
    </row>
    <row r="624" spans="1:5">
      <c r="A624" s="1"/>
      <c r="B624" s="1"/>
      <c r="C624" s="1"/>
      <c r="D624" s="1"/>
      <c r="E624" s="1"/>
    </row>
    <row r="625" spans="1:5">
      <c r="A625" s="1"/>
      <c r="B625" s="1"/>
      <c r="C625" s="1"/>
      <c r="D625" s="1"/>
      <c r="E625" s="1"/>
    </row>
    <row r="626" spans="1:5">
      <c r="A626" s="1"/>
      <c r="B626" s="1"/>
      <c r="C626" s="1"/>
      <c r="D626" s="1"/>
      <c r="E626" s="1"/>
    </row>
    <row r="627" spans="1:5">
      <c r="A627" s="1"/>
      <c r="B627" s="1"/>
      <c r="C627" s="1"/>
      <c r="D627" s="1"/>
      <c r="E627" s="1"/>
    </row>
    <row r="628" spans="1:5">
      <c r="A628" s="1"/>
      <c r="B628" s="1"/>
      <c r="C628" s="1"/>
      <c r="D628" s="1"/>
      <c r="E628" s="1"/>
    </row>
    <row r="629" spans="1:5">
      <c r="A629" s="1"/>
      <c r="B629" s="1"/>
      <c r="C629" s="1"/>
      <c r="D629" s="1"/>
      <c r="E629" s="1"/>
    </row>
    <row r="630" spans="1:5">
      <c r="A630" s="1"/>
      <c r="B630" s="1"/>
      <c r="C630" s="1"/>
      <c r="D630" s="1"/>
      <c r="E630" s="1"/>
    </row>
    <row r="631" spans="1:5">
      <c r="A631" s="1"/>
      <c r="B631" s="1"/>
      <c r="C631" s="1"/>
      <c r="D631" s="1"/>
      <c r="E631" s="1"/>
    </row>
    <row r="632" spans="1:5">
      <c r="A632" s="1"/>
      <c r="B632" s="1"/>
      <c r="C632" s="1"/>
      <c r="D632" s="1"/>
      <c r="E632" s="1"/>
    </row>
    <row r="633" spans="1:5">
      <c r="A633" s="1"/>
      <c r="B633" s="1"/>
      <c r="C633" s="1"/>
      <c r="D633" s="1"/>
      <c r="E633" s="1"/>
    </row>
    <row r="634" spans="1:5">
      <c r="A634" s="1"/>
      <c r="B634" s="1"/>
      <c r="C634" s="1"/>
      <c r="D634" s="1"/>
      <c r="E634" s="1"/>
    </row>
    <row r="635" spans="1:5">
      <c r="A635" s="1"/>
      <c r="B635" s="1"/>
      <c r="C635" s="1"/>
      <c r="D635" s="1"/>
      <c r="E635" s="1"/>
    </row>
    <row r="636" spans="1:5">
      <c r="A636" s="1"/>
      <c r="B636" s="1"/>
      <c r="C636" s="1"/>
      <c r="D636" s="1"/>
      <c r="E636" s="1"/>
    </row>
    <row r="637" spans="1:5">
      <c r="A637" s="1"/>
      <c r="B637" s="1"/>
      <c r="C637" s="1"/>
      <c r="D637" s="1"/>
      <c r="E637" s="1"/>
    </row>
    <row r="638" spans="1:5">
      <c r="A638" s="1"/>
      <c r="B638" s="1"/>
      <c r="C638" s="1"/>
      <c r="D638" s="1"/>
      <c r="E638" s="1"/>
    </row>
    <row r="639" spans="1:5">
      <c r="A639" s="1"/>
      <c r="B639" s="1"/>
      <c r="C639" s="1"/>
      <c r="D639" s="1"/>
      <c r="E639" s="1"/>
    </row>
    <row r="640" spans="1:5">
      <c r="A640" s="1"/>
      <c r="B640" s="1"/>
      <c r="C640" s="1"/>
      <c r="D640" s="1"/>
      <c r="E640" s="1"/>
    </row>
    <row r="641" spans="1:5">
      <c r="A641" s="1"/>
      <c r="B641" s="1"/>
      <c r="C641" s="1"/>
      <c r="D641" s="1"/>
      <c r="E641" s="1"/>
    </row>
    <row r="642" spans="1:5">
      <c r="A642" s="1"/>
      <c r="B642" s="1"/>
      <c r="C642" s="1"/>
      <c r="D642" s="1"/>
      <c r="E642" s="1"/>
    </row>
    <row r="643" spans="1:5">
      <c r="A643" s="1"/>
      <c r="B643" s="1"/>
      <c r="C643" s="1"/>
      <c r="D643" s="1"/>
      <c r="E643" s="1"/>
    </row>
    <row r="644" spans="1:5">
      <c r="A644" s="1"/>
      <c r="B644" s="1"/>
      <c r="C644" s="1"/>
      <c r="D644" s="1"/>
      <c r="E644" s="1"/>
    </row>
    <row r="645" spans="1:5">
      <c r="A645" s="1"/>
      <c r="B645" s="1"/>
      <c r="C645" s="1"/>
      <c r="D645" s="1"/>
      <c r="E645" s="1"/>
    </row>
    <row r="646" spans="1:5">
      <c r="A646" s="1"/>
      <c r="B646" s="1"/>
      <c r="C646" s="1"/>
      <c r="D646" s="1"/>
      <c r="E646" s="1"/>
    </row>
    <row r="647" spans="1:5">
      <c r="A647" s="1"/>
      <c r="B647" s="1"/>
      <c r="C647" s="1"/>
      <c r="D647" s="1"/>
      <c r="E647" s="1"/>
    </row>
    <row r="648" spans="1:5">
      <c r="A648" s="1"/>
      <c r="B648" s="1"/>
      <c r="C648" s="1"/>
      <c r="D648" s="1"/>
      <c r="E648" s="1"/>
    </row>
    <row r="649" spans="1:5">
      <c r="A649" s="1"/>
      <c r="B649" s="1"/>
      <c r="C649" s="1"/>
      <c r="D649" s="1"/>
      <c r="E649" s="1"/>
    </row>
    <row r="650" spans="1:5">
      <c r="A650" s="1"/>
      <c r="B650" s="1"/>
      <c r="C650" s="1"/>
      <c r="D650" s="1"/>
      <c r="E650" s="1"/>
    </row>
    <row r="651" spans="1:5">
      <c r="A651" s="1"/>
      <c r="B651" s="1"/>
      <c r="C651" s="1"/>
      <c r="D651" s="1"/>
      <c r="E651" s="1"/>
    </row>
    <row r="652" spans="1:5">
      <c r="A652" s="1"/>
      <c r="B652" s="1"/>
      <c r="C652" s="1"/>
      <c r="D652" s="1"/>
      <c r="E652" s="1"/>
    </row>
    <row r="653" spans="1:5">
      <c r="A653" s="1"/>
      <c r="B653" s="1"/>
      <c r="C653" s="1"/>
      <c r="D653" s="1"/>
      <c r="E653" s="1"/>
    </row>
    <row r="654" spans="1:5">
      <c r="A654" s="1"/>
      <c r="B654" s="1"/>
      <c r="C654" s="1"/>
      <c r="D654" s="1"/>
      <c r="E654" s="1"/>
    </row>
    <row r="655" spans="1:5">
      <c r="A655" s="1"/>
      <c r="B655" s="1"/>
      <c r="C655" s="1"/>
      <c r="D655" s="1"/>
      <c r="E655" s="1"/>
    </row>
    <row r="656" spans="1:5">
      <c r="A656" s="1"/>
      <c r="B656" s="1"/>
      <c r="C656" s="1"/>
      <c r="D656" s="1"/>
      <c r="E656" s="1"/>
    </row>
    <row r="657" spans="1:5">
      <c r="A657" s="1"/>
      <c r="B657" s="1"/>
      <c r="C657" s="1"/>
      <c r="D657" s="1"/>
      <c r="E657" s="1"/>
    </row>
    <row r="658" spans="1:5">
      <c r="A658" s="1"/>
      <c r="B658" s="1"/>
      <c r="C658" s="1"/>
      <c r="D658" s="1"/>
      <c r="E658" s="1"/>
    </row>
    <row r="659" spans="1:5">
      <c r="A659" s="1"/>
      <c r="B659" s="1"/>
      <c r="C659" s="1"/>
      <c r="D659" s="1"/>
      <c r="E659" s="1"/>
    </row>
    <row r="660" spans="1:5">
      <c r="A660" s="1"/>
      <c r="B660" s="1"/>
      <c r="C660" s="1"/>
      <c r="D660" s="1"/>
      <c r="E660" s="1"/>
    </row>
    <row r="661" spans="1:5">
      <c r="A661" s="1"/>
      <c r="B661" s="1"/>
      <c r="C661" s="1"/>
      <c r="D661" s="1"/>
      <c r="E661" s="1"/>
    </row>
    <row r="662" spans="1:5">
      <c r="A662" s="1"/>
      <c r="B662" s="1"/>
      <c r="C662" s="1"/>
      <c r="D662" s="1"/>
      <c r="E662" s="1"/>
    </row>
    <row r="663" spans="1:5">
      <c r="A663" s="1"/>
      <c r="B663" s="1"/>
      <c r="C663" s="1"/>
      <c r="D663" s="1"/>
      <c r="E663" s="1"/>
    </row>
    <row r="664" spans="1:5">
      <c r="A664" s="1"/>
      <c r="B664" s="1"/>
      <c r="C664" s="1"/>
      <c r="D664" s="1"/>
      <c r="E664" s="1"/>
    </row>
    <row r="665" spans="1:5">
      <c r="A665" s="1"/>
      <c r="B665" s="1"/>
      <c r="C665" s="1"/>
      <c r="D665" s="1"/>
      <c r="E665" s="1"/>
    </row>
    <row r="666" spans="1:5">
      <c r="A666" s="1"/>
      <c r="B666" s="1"/>
      <c r="C666" s="1"/>
      <c r="D666" s="1"/>
      <c r="E666" s="1"/>
    </row>
    <row r="667" spans="1:5">
      <c r="A667" s="1"/>
      <c r="B667" s="1"/>
      <c r="C667" s="1"/>
      <c r="D667" s="1"/>
      <c r="E667" s="1"/>
    </row>
    <row r="668" spans="1:5">
      <c r="A668" s="1"/>
      <c r="B668" s="1"/>
      <c r="C668" s="1"/>
      <c r="D668" s="1"/>
      <c r="E668" s="1"/>
    </row>
    <row r="669" spans="1:5">
      <c r="A669" s="1"/>
      <c r="B669" s="1"/>
      <c r="C669" s="1"/>
      <c r="D669" s="1"/>
      <c r="E669" s="1"/>
    </row>
    <row r="670" spans="1:5">
      <c r="A670" s="1"/>
      <c r="B670" s="1"/>
      <c r="C670" s="1"/>
      <c r="D670" s="1"/>
      <c r="E670" s="1"/>
    </row>
    <row r="671" spans="1:5">
      <c r="A671" s="1"/>
      <c r="B671" s="1"/>
      <c r="C671" s="1"/>
      <c r="D671" s="1"/>
      <c r="E671" s="1"/>
    </row>
    <row r="672" spans="1:5">
      <c r="A672" s="1"/>
      <c r="B672" s="1"/>
      <c r="C672" s="1"/>
      <c r="D672" s="1"/>
      <c r="E672" s="1"/>
    </row>
    <row r="673" spans="1:5">
      <c r="A673" s="1"/>
      <c r="B673" s="1"/>
      <c r="C673" s="1"/>
      <c r="D673" s="1"/>
      <c r="E673" s="1"/>
    </row>
    <row r="674" spans="1:5">
      <c r="A674" s="1"/>
      <c r="B674" s="1"/>
      <c r="C674" s="1"/>
      <c r="D674" s="1"/>
      <c r="E674" s="1"/>
    </row>
    <row r="675" spans="1:5">
      <c r="A675" s="1"/>
      <c r="B675" s="1"/>
      <c r="C675" s="1"/>
      <c r="D675" s="1"/>
      <c r="E675" s="1"/>
    </row>
    <row r="676" spans="1:5">
      <c r="A676" s="1"/>
      <c r="B676" s="1"/>
      <c r="C676" s="1"/>
      <c r="D676" s="1"/>
      <c r="E676" s="1"/>
    </row>
    <row r="677" spans="1:5">
      <c r="A677" s="1"/>
      <c r="B677" s="1"/>
      <c r="C677" s="1"/>
      <c r="D677" s="1"/>
      <c r="E677" s="1"/>
    </row>
    <row r="678" spans="1:5">
      <c r="A678" s="1"/>
      <c r="B678" s="1"/>
      <c r="C678" s="1"/>
      <c r="D678" s="1"/>
      <c r="E678" s="1"/>
    </row>
    <row r="679" spans="1:5">
      <c r="A679" s="1"/>
      <c r="B679" s="1"/>
      <c r="C679" s="1"/>
      <c r="D679" s="1"/>
      <c r="E679" s="1"/>
    </row>
    <row r="680" spans="1:5">
      <c r="A680" s="1"/>
      <c r="B680" s="1"/>
      <c r="C680" s="1"/>
      <c r="D680" s="1"/>
      <c r="E680" s="1"/>
    </row>
    <row r="681" spans="1:5">
      <c r="A681" s="1"/>
      <c r="B681" s="1"/>
      <c r="C681" s="1"/>
      <c r="D681" s="1"/>
      <c r="E681" s="1"/>
    </row>
    <row r="682" spans="1:5">
      <c r="A682" s="1"/>
      <c r="B682" s="1"/>
      <c r="C682" s="1"/>
      <c r="D682" s="1"/>
      <c r="E682" s="1"/>
    </row>
    <row r="683" spans="1:5">
      <c r="A683" s="1"/>
      <c r="B683" s="1"/>
      <c r="C683" s="1"/>
      <c r="D683" s="1"/>
      <c r="E683" s="1"/>
    </row>
    <row r="684" spans="1:5">
      <c r="A684" s="1"/>
      <c r="B684" s="1"/>
      <c r="C684" s="1"/>
      <c r="D684" s="1"/>
      <c r="E684" s="1"/>
    </row>
    <row r="685" spans="1:5">
      <c r="A685" s="1"/>
      <c r="B685" s="1"/>
      <c r="C685" s="1"/>
      <c r="D685" s="1"/>
      <c r="E685" s="1"/>
    </row>
    <row r="686" spans="1:5">
      <c r="A686" s="1"/>
      <c r="B686" s="1"/>
      <c r="C686" s="1"/>
      <c r="D686" s="1"/>
      <c r="E686" s="1"/>
    </row>
    <row r="687" spans="1:5">
      <c r="A687" s="1"/>
      <c r="B687" s="1"/>
      <c r="C687" s="1"/>
      <c r="D687" s="1"/>
      <c r="E687" s="1"/>
    </row>
    <row r="688" spans="1:5">
      <c r="A688" s="1"/>
      <c r="B688" s="1"/>
      <c r="C688" s="1"/>
      <c r="D688" s="1"/>
      <c r="E688" s="1"/>
    </row>
    <row r="689" spans="1:5">
      <c r="A689" s="1"/>
      <c r="B689" s="1"/>
      <c r="C689" s="1"/>
      <c r="D689" s="1"/>
      <c r="E689" s="1"/>
    </row>
    <row r="690" spans="1:5">
      <c r="A690" s="1"/>
      <c r="B690" s="1"/>
      <c r="C690" s="1"/>
      <c r="D690" s="1"/>
      <c r="E690" s="1"/>
    </row>
    <row r="691" spans="1:5">
      <c r="A691" s="1"/>
      <c r="B691" s="1"/>
      <c r="C691" s="1"/>
      <c r="D691" s="1"/>
      <c r="E691" s="1"/>
    </row>
    <row r="692" spans="1:5">
      <c r="A692" s="1"/>
      <c r="B692" s="1"/>
      <c r="C692" s="1"/>
      <c r="D692" s="1"/>
      <c r="E692" s="1"/>
    </row>
    <row r="693" spans="1:5">
      <c r="A693" s="1"/>
      <c r="B693" s="1"/>
      <c r="C693" s="1"/>
      <c r="D693" s="1"/>
      <c r="E693" s="1"/>
    </row>
    <row r="694" spans="1:5">
      <c r="A694" s="1"/>
      <c r="B694" s="1"/>
      <c r="C694" s="1"/>
      <c r="D694" s="1"/>
      <c r="E694" s="1"/>
    </row>
    <row r="695" spans="1:5">
      <c r="A695" s="1"/>
      <c r="B695" s="1"/>
      <c r="C695" s="1"/>
      <c r="D695" s="1"/>
      <c r="E695" s="1"/>
    </row>
    <row r="696" spans="1:5">
      <c r="A696" s="1"/>
      <c r="B696" s="1"/>
      <c r="C696" s="1"/>
      <c r="D696" s="1"/>
      <c r="E696" s="1"/>
    </row>
    <row r="697" spans="1:5">
      <c r="A697" s="1"/>
      <c r="B697" s="1"/>
      <c r="C697" s="1"/>
      <c r="D697" s="1"/>
      <c r="E697" s="1"/>
    </row>
    <row r="698" spans="1:5">
      <c r="A698" s="1"/>
      <c r="B698" s="1"/>
      <c r="C698" s="1"/>
      <c r="D698" s="1"/>
      <c r="E698" s="1"/>
    </row>
    <row r="699" spans="1:5">
      <c r="A699" s="1"/>
      <c r="B699" s="1"/>
      <c r="C699" s="1"/>
      <c r="D699" s="1"/>
      <c r="E699" s="1"/>
    </row>
    <row r="700" spans="1:5">
      <c r="A700" s="1"/>
      <c r="B700" s="1"/>
      <c r="C700" s="1"/>
      <c r="D700" s="1"/>
      <c r="E700" s="1"/>
    </row>
    <row r="701" spans="1:5">
      <c r="A701" s="1"/>
      <c r="B701" s="1"/>
      <c r="C701" s="1"/>
      <c r="D701" s="1"/>
      <c r="E701" s="1"/>
    </row>
    <row r="702" spans="1:5">
      <c r="A702" s="1"/>
      <c r="B702" s="1"/>
      <c r="C702" s="1"/>
      <c r="D702" s="1"/>
      <c r="E702" s="1"/>
    </row>
    <row r="703" spans="1:5">
      <c r="A703" s="1"/>
      <c r="B703" s="1"/>
      <c r="C703" s="1"/>
      <c r="D703" s="1"/>
      <c r="E703" s="1"/>
    </row>
    <row r="704" spans="1:5">
      <c r="A704" s="1"/>
      <c r="B704" s="1"/>
      <c r="C704" s="1"/>
      <c r="D704" s="1"/>
      <c r="E704" s="1"/>
    </row>
    <row r="705" spans="1:5">
      <c r="A705" s="1"/>
      <c r="B705" s="1"/>
      <c r="C705" s="1"/>
      <c r="D705" s="1"/>
      <c r="E705" s="1"/>
    </row>
    <row r="706" spans="1:5">
      <c r="A706" s="1"/>
      <c r="B706" s="1"/>
      <c r="C706" s="1"/>
      <c r="D706" s="1"/>
      <c r="E706" s="1"/>
    </row>
    <row r="707" spans="1:5">
      <c r="A707" s="1"/>
      <c r="B707" s="1"/>
      <c r="C707" s="1"/>
      <c r="D707" s="1"/>
      <c r="E707" s="1"/>
    </row>
    <row r="708" spans="1:5">
      <c r="A708" s="1"/>
      <c r="B708" s="1"/>
      <c r="C708" s="1"/>
      <c r="D708" s="1"/>
      <c r="E708" s="1"/>
    </row>
    <row r="709" spans="1:5">
      <c r="A709" s="1"/>
      <c r="B709" s="1"/>
      <c r="C709" s="1"/>
      <c r="D709" s="1"/>
      <c r="E709" s="1"/>
    </row>
    <row r="710" spans="1:5">
      <c r="A710" s="1"/>
      <c r="B710" s="1"/>
      <c r="C710" s="1"/>
      <c r="D710" s="1"/>
      <c r="E710" s="1"/>
    </row>
    <row r="711" spans="1:5">
      <c r="A711" s="1"/>
      <c r="B711" s="1"/>
      <c r="C711" s="1"/>
      <c r="D711" s="1"/>
      <c r="E711" s="1"/>
    </row>
    <row r="712" spans="1:5">
      <c r="A712" s="1"/>
      <c r="B712" s="1"/>
      <c r="C712" s="1"/>
      <c r="D712" s="1"/>
      <c r="E712" s="1"/>
    </row>
    <row r="713" spans="1:5">
      <c r="A713" s="1"/>
      <c r="B713" s="1"/>
      <c r="C713" s="1"/>
      <c r="D713" s="1"/>
      <c r="E713" s="1"/>
    </row>
    <row r="714" spans="1:5">
      <c r="A714" s="1"/>
      <c r="B714" s="1"/>
      <c r="C714" s="1"/>
      <c r="D714" s="1"/>
      <c r="E714" s="1"/>
    </row>
    <row r="715" spans="1:5">
      <c r="A715" s="1"/>
      <c r="B715" s="1"/>
      <c r="C715" s="1"/>
      <c r="D715" s="1"/>
      <c r="E715" s="1"/>
    </row>
    <row r="716" spans="1:5">
      <c r="A716" s="1"/>
      <c r="B716" s="1"/>
      <c r="C716" s="1"/>
      <c r="D716" s="1"/>
      <c r="E716" s="1"/>
    </row>
    <row r="717" spans="1:5">
      <c r="A717" s="1"/>
      <c r="B717" s="1"/>
      <c r="C717" s="1"/>
      <c r="D717" s="1"/>
      <c r="E717" s="1"/>
    </row>
    <row r="718" spans="1:5">
      <c r="A718" s="1"/>
      <c r="B718" s="1"/>
      <c r="C718" s="1"/>
      <c r="D718" s="1"/>
      <c r="E718" s="1"/>
    </row>
    <row r="719" spans="1:5">
      <c r="A719" s="1"/>
      <c r="B719" s="1"/>
      <c r="C719" s="1"/>
      <c r="D719" s="1"/>
      <c r="E719" s="1"/>
    </row>
    <row r="720" spans="1:5">
      <c r="A720" s="1"/>
      <c r="B720" s="1"/>
      <c r="C720" s="1"/>
      <c r="D720" s="1"/>
      <c r="E720" s="1"/>
    </row>
    <row r="721" spans="1:5">
      <c r="A721" s="1"/>
      <c r="B721" s="1"/>
      <c r="C721" s="1"/>
      <c r="D721" s="1"/>
      <c r="E721" s="1"/>
    </row>
    <row r="722" spans="1:5">
      <c r="A722" s="1"/>
      <c r="B722" s="1"/>
      <c r="C722" s="1"/>
      <c r="D722" s="1"/>
      <c r="E722" s="1"/>
    </row>
    <row r="723" spans="1:5">
      <c r="A723" s="1"/>
      <c r="B723" s="1"/>
      <c r="C723" s="1"/>
      <c r="D723" s="1"/>
      <c r="E723" s="1"/>
    </row>
    <row r="724" spans="1:5">
      <c r="A724" s="1"/>
      <c r="B724" s="1"/>
      <c r="C724" s="1"/>
      <c r="D724" s="1"/>
      <c r="E724" s="1"/>
    </row>
    <row r="725" spans="1:5">
      <c r="A725" s="1"/>
      <c r="B725" s="1"/>
      <c r="C725" s="1"/>
      <c r="D725" s="1"/>
      <c r="E725" s="1"/>
    </row>
    <row r="726" spans="1:5">
      <c r="A726" s="1"/>
      <c r="B726" s="1"/>
      <c r="C726" s="1"/>
      <c r="D726" s="1"/>
      <c r="E726" s="1"/>
    </row>
    <row r="727" spans="1:5">
      <c r="A727" s="1"/>
      <c r="B727" s="1"/>
      <c r="C727" s="1"/>
      <c r="D727" s="1"/>
      <c r="E727" s="1"/>
    </row>
    <row r="728" spans="1:5">
      <c r="A728" s="1"/>
      <c r="B728" s="1"/>
      <c r="C728" s="1"/>
      <c r="D728" s="1"/>
      <c r="E728" s="1"/>
    </row>
    <row r="729" spans="1:5">
      <c r="A729" s="1"/>
      <c r="B729" s="1"/>
      <c r="C729" s="1"/>
      <c r="D729" s="1"/>
      <c r="E729" s="1"/>
    </row>
    <row r="730" spans="1:5">
      <c r="A730" s="1"/>
      <c r="B730" s="1"/>
      <c r="C730" s="1"/>
      <c r="D730" s="1"/>
      <c r="E730" s="1"/>
    </row>
    <row r="731" spans="1:5">
      <c r="A731" s="1"/>
      <c r="B731" s="1"/>
      <c r="C731" s="1"/>
      <c r="D731" s="1"/>
      <c r="E731" s="1"/>
    </row>
    <row r="732" spans="1:5">
      <c r="A732" s="1"/>
      <c r="B732" s="1"/>
      <c r="C732" s="1"/>
      <c r="D732" s="1"/>
      <c r="E732" s="1"/>
    </row>
    <row r="733" spans="1:5">
      <c r="A733" s="1"/>
      <c r="B733" s="1"/>
      <c r="C733" s="1"/>
      <c r="D733" s="1"/>
      <c r="E733" s="1"/>
    </row>
    <row r="734" spans="1:5">
      <c r="A734" s="1"/>
      <c r="B734" s="1"/>
      <c r="C734" s="1"/>
      <c r="D734" s="1"/>
      <c r="E734" s="1"/>
    </row>
    <row r="735" spans="1:5">
      <c r="A735" s="1"/>
      <c r="B735" s="1"/>
      <c r="C735" s="1"/>
      <c r="D735" s="1"/>
      <c r="E735" s="1"/>
    </row>
    <row r="736" spans="1:5">
      <c r="A736" s="1"/>
      <c r="B736" s="1"/>
      <c r="C736" s="1"/>
      <c r="D736" s="1"/>
      <c r="E736" s="1"/>
    </row>
    <row r="737" spans="1:5">
      <c r="A737" s="1"/>
      <c r="B737" s="1"/>
      <c r="C737" s="1"/>
      <c r="D737" s="1"/>
      <c r="E737" s="1"/>
    </row>
    <row r="738" spans="1:5">
      <c r="A738" s="1"/>
      <c r="B738" s="1"/>
      <c r="C738" s="1"/>
      <c r="D738" s="1"/>
      <c r="E738" s="1"/>
    </row>
    <row r="739" spans="1:5">
      <c r="A739" s="1"/>
      <c r="B739" s="1"/>
      <c r="C739" s="1"/>
      <c r="D739" s="1"/>
      <c r="E739" s="1"/>
    </row>
    <row r="740" spans="1:5">
      <c r="A740" s="1"/>
      <c r="B740" s="1"/>
      <c r="C740" s="1"/>
      <c r="D740" s="1"/>
      <c r="E740" s="1"/>
    </row>
    <row r="741" spans="1:5">
      <c r="A741" s="1"/>
      <c r="B741" s="1"/>
      <c r="C741" s="1"/>
      <c r="D741" s="1"/>
      <c r="E741" s="1"/>
    </row>
    <row r="742" spans="1:5">
      <c r="A742" s="1"/>
      <c r="B742" s="1"/>
      <c r="C742" s="1"/>
      <c r="D742" s="1"/>
      <c r="E742" s="1"/>
    </row>
    <row r="743" spans="1:5">
      <c r="A743" s="1"/>
      <c r="B743" s="1"/>
      <c r="C743" s="1"/>
      <c r="D743" s="1"/>
      <c r="E743" s="1"/>
    </row>
    <row r="744" spans="1:5">
      <c r="A744" s="1"/>
      <c r="B744" s="1"/>
      <c r="C744" s="1"/>
      <c r="D744" s="1"/>
      <c r="E744" s="1"/>
    </row>
    <row r="745" spans="1:5">
      <c r="A745" s="1"/>
      <c r="B745" s="1"/>
      <c r="C745" s="1"/>
      <c r="D745" s="1"/>
      <c r="E745" s="1"/>
    </row>
    <row r="746" spans="1:5">
      <c r="A746" s="1"/>
      <c r="B746" s="1"/>
      <c r="C746" s="1"/>
      <c r="D746" s="1"/>
      <c r="E746" s="1"/>
    </row>
    <row r="747" spans="1:5">
      <c r="A747" s="1"/>
      <c r="B747" s="1"/>
      <c r="C747" s="1"/>
      <c r="D747" s="1"/>
      <c r="E747" s="1"/>
    </row>
    <row r="748" spans="1:5">
      <c r="A748" s="1"/>
      <c r="B748" s="1"/>
      <c r="C748" s="1"/>
      <c r="D748" s="1"/>
      <c r="E748" s="1"/>
    </row>
    <row r="749" spans="1:5">
      <c r="A749" s="1"/>
      <c r="B749" s="1"/>
      <c r="C749" s="1"/>
      <c r="D749" s="1"/>
      <c r="E749" s="1"/>
    </row>
    <row r="750" spans="1:5">
      <c r="A750" s="1"/>
      <c r="B750" s="1"/>
      <c r="C750" s="1"/>
      <c r="D750" s="1"/>
      <c r="E750" s="1"/>
    </row>
    <row r="751" spans="1:5">
      <c r="A751" s="1"/>
      <c r="B751" s="1"/>
      <c r="C751" s="1"/>
      <c r="D751" s="1"/>
      <c r="E751" s="1"/>
    </row>
    <row r="752" spans="1:5">
      <c r="A752" s="1"/>
      <c r="B752" s="1"/>
      <c r="C752" s="1"/>
      <c r="D752" s="1"/>
      <c r="E752" s="1"/>
    </row>
    <row r="753" spans="1:5">
      <c r="A753" s="1"/>
      <c r="B753" s="1"/>
      <c r="C753" s="1"/>
      <c r="D753" s="1"/>
      <c r="E753" s="1"/>
    </row>
    <row r="754" spans="1:5">
      <c r="A754" s="1"/>
      <c r="B754" s="1"/>
      <c r="C754" s="1"/>
      <c r="D754" s="1"/>
      <c r="E754" s="1"/>
    </row>
    <row r="755" spans="1:5">
      <c r="A755" s="1"/>
      <c r="B755" s="1"/>
      <c r="C755" s="1"/>
      <c r="D755" s="1"/>
      <c r="E755" s="1"/>
    </row>
    <row r="756" spans="1:5">
      <c r="A756" s="1"/>
      <c r="B756" s="1"/>
      <c r="C756" s="1"/>
      <c r="D756" s="1"/>
      <c r="E756" s="1"/>
    </row>
    <row r="757" spans="1:5">
      <c r="A757" s="1"/>
      <c r="B757" s="1"/>
      <c r="C757" s="1"/>
      <c r="D757" s="1"/>
      <c r="E757" s="1"/>
    </row>
    <row r="758" spans="1:5">
      <c r="A758" s="1"/>
      <c r="B758" s="1"/>
      <c r="C758" s="1"/>
      <c r="D758" s="1"/>
      <c r="E758" s="1"/>
    </row>
    <row r="759" spans="1:5">
      <c r="A759" s="1"/>
      <c r="B759" s="1"/>
      <c r="C759" s="1"/>
      <c r="D759" s="1"/>
      <c r="E759" s="1"/>
    </row>
    <row r="760" spans="1:5">
      <c r="A760" s="1"/>
      <c r="B760" s="1"/>
      <c r="C760" s="1"/>
      <c r="D760" s="1"/>
      <c r="E760" s="1"/>
    </row>
    <row r="761" spans="1:5">
      <c r="A761" s="1"/>
      <c r="B761" s="1"/>
      <c r="C761" s="1"/>
      <c r="D761" s="1"/>
      <c r="E761" s="1"/>
    </row>
    <row r="762" spans="1:5">
      <c r="A762" s="1"/>
      <c r="B762" s="1"/>
      <c r="C762" s="1"/>
      <c r="D762" s="1"/>
      <c r="E762" s="1"/>
    </row>
    <row r="763" spans="1:5">
      <c r="A763" s="1"/>
      <c r="B763" s="1"/>
      <c r="C763" s="1"/>
      <c r="D763" s="1"/>
      <c r="E763" s="1"/>
    </row>
    <row r="764" spans="1:5">
      <c r="A764" s="1"/>
      <c r="B764" s="1"/>
      <c r="C764" s="1"/>
      <c r="D764" s="1"/>
      <c r="E764" s="1"/>
    </row>
    <row r="765" spans="1:5">
      <c r="A765" s="1"/>
      <c r="B765" s="1"/>
      <c r="C765" s="1"/>
      <c r="D765" s="1"/>
      <c r="E765" s="1"/>
    </row>
    <row r="766" spans="1:5">
      <c r="A766" s="1"/>
      <c r="B766" s="1"/>
      <c r="C766" s="1"/>
      <c r="D766" s="1"/>
      <c r="E766" s="1"/>
    </row>
    <row r="767" spans="1:5">
      <c r="A767" s="1"/>
      <c r="B767" s="1"/>
      <c r="C767" s="1"/>
      <c r="D767" s="1"/>
      <c r="E767" s="1"/>
    </row>
    <row r="768" spans="1:5">
      <c r="A768" s="1"/>
      <c r="B768" s="1"/>
      <c r="C768" s="1"/>
      <c r="D768" s="1"/>
      <c r="E768" s="1"/>
    </row>
    <row r="769" spans="1:5">
      <c r="A769" s="1"/>
      <c r="B769" s="1"/>
      <c r="C769" s="1"/>
      <c r="D769" s="1"/>
      <c r="E769" s="1"/>
    </row>
    <row r="770" spans="1:5">
      <c r="A770" s="1"/>
      <c r="B770" s="1"/>
      <c r="C770" s="1"/>
      <c r="D770" s="1"/>
      <c r="E770" s="1"/>
    </row>
    <row r="771" spans="1:5">
      <c r="A771" s="1"/>
      <c r="B771" s="1"/>
      <c r="C771" s="1"/>
      <c r="D771" s="1"/>
      <c r="E771" s="1"/>
    </row>
    <row r="772" spans="1:5">
      <c r="A772" s="1"/>
      <c r="B772" s="1"/>
      <c r="C772" s="1"/>
      <c r="D772" s="1"/>
      <c r="E772" s="1"/>
    </row>
    <row r="773" spans="1:5">
      <c r="A773" s="1"/>
      <c r="B773" s="1"/>
      <c r="C773" s="1"/>
      <c r="D773" s="1"/>
      <c r="E773" s="1"/>
    </row>
    <row r="774" spans="1:5">
      <c r="A774" s="1"/>
      <c r="B774" s="1"/>
      <c r="C774" s="1"/>
      <c r="D774" s="1"/>
      <c r="E774" s="1"/>
    </row>
    <row r="775" spans="1:5">
      <c r="A775" s="1"/>
      <c r="B775" s="1"/>
      <c r="C775" s="1"/>
      <c r="D775" s="1"/>
      <c r="E775" s="1"/>
    </row>
    <row r="776" spans="1:5">
      <c r="A776" s="1"/>
      <c r="B776" s="1"/>
      <c r="C776" s="1"/>
      <c r="D776" s="1"/>
      <c r="E776" s="1"/>
    </row>
    <row r="777" spans="1:5">
      <c r="A777" s="1"/>
      <c r="B777" s="1"/>
      <c r="C777" s="1"/>
      <c r="D777" s="1"/>
      <c r="E777" s="1"/>
    </row>
    <row r="778" spans="1:5">
      <c r="A778" s="1"/>
      <c r="B778" s="1"/>
      <c r="C778" s="1"/>
      <c r="D778" s="1"/>
      <c r="E778" s="1"/>
    </row>
    <row r="779" spans="1:5">
      <c r="A779" s="1"/>
      <c r="B779" s="1"/>
      <c r="C779" s="1"/>
      <c r="D779" s="1"/>
      <c r="E779" s="1"/>
    </row>
    <row r="780" spans="1:5">
      <c r="A780" s="1"/>
      <c r="B780" s="1"/>
      <c r="C780" s="1"/>
      <c r="D780" s="1"/>
      <c r="E780" s="1"/>
    </row>
    <row r="781" spans="1:5">
      <c r="A781" s="1"/>
      <c r="B781" s="1"/>
      <c r="C781" s="1"/>
      <c r="D781" s="1"/>
      <c r="E781" s="1"/>
    </row>
    <row r="782" spans="1:5">
      <c r="A782" s="1"/>
      <c r="B782" s="1"/>
      <c r="C782" s="1"/>
      <c r="D782" s="1"/>
      <c r="E782" s="1"/>
    </row>
    <row r="783" spans="1:5">
      <c r="A783" s="1"/>
      <c r="B783" s="1"/>
      <c r="C783" s="1"/>
      <c r="D783" s="1"/>
      <c r="E783" s="1"/>
    </row>
    <row r="784" spans="1:5">
      <c r="A784" s="1"/>
      <c r="B784" s="1"/>
      <c r="C784" s="1"/>
      <c r="D784" s="1"/>
      <c r="E784" s="1"/>
    </row>
    <row r="785" spans="1:5">
      <c r="A785" s="1"/>
      <c r="B785" s="1"/>
      <c r="C785" s="1"/>
      <c r="D785" s="1"/>
      <c r="E785" s="1"/>
    </row>
    <row r="786" spans="1:5">
      <c r="A786" s="1"/>
      <c r="B786" s="1"/>
      <c r="C786" s="1"/>
      <c r="D786" s="1"/>
      <c r="E786" s="1"/>
    </row>
    <row r="787" spans="1:5">
      <c r="A787" s="1"/>
      <c r="B787" s="1"/>
      <c r="C787" s="1"/>
      <c r="D787" s="1"/>
      <c r="E787" s="1"/>
    </row>
    <row r="788" spans="1:5">
      <c r="A788" s="1"/>
      <c r="B788" s="1"/>
      <c r="C788" s="1"/>
      <c r="D788" s="1"/>
      <c r="E788" s="1"/>
    </row>
    <row r="789" spans="1:5">
      <c r="A789" s="1"/>
      <c r="B789" s="1"/>
      <c r="C789" s="1"/>
      <c r="D789" s="1"/>
      <c r="E789" s="1"/>
    </row>
    <row r="790" spans="1:5">
      <c r="A790" s="1"/>
      <c r="B790" s="1"/>
      <c r="C790" s="1"/>
      <c r="D790" s="1"/>
      <c r="E790" s="1"/>
    </row>
    <row r="791" spans="1:5">
      <c r="A791" s="1"/>
      <c r="B791" s="1"/>
      <c r="C791" s="1"/>
      <c r="D791" s="1"/>
      <c r="E791" s="1"/>
    </row>
    <row r="792" spans="1:5">
      <c r="A792" s="1"/>
      <c r="B792" s="1"/>
      <c r="C792" s="1"/>
      <c r="D792" s="1"/>
      <c r="E792" s="1"/>
    </row>
    <row r="793" spans="1:5">
      <c r="A793" s="1"/>
      <c r="B793" s="1"/>
      <c r="C793" s="1"/>
      <c r="D793" s="1"/>
      <c r="E793" s="1"/>
    </row>
    <row r="794" spans="1:5">
      <c r="A794" s="1"/>
      <c r="B794" s="1"/>
      <c r="C794" s="1"/>
      <c r="D794" s="1"/>
      <c r="E794" s="1"/>
    </row>
    <row r="795" spans="1:5">
      <c r="A795" s="1"/>
      <c r="B795" s="1"/>
      <c r="C795" s="1"/>
      <c r="D795" s="1"/>
      <c r="E795" s="1"/>
    </row>
    <row r="796" spans="1:5">
      <c r="A796" s="1"/>
      <c r="B796" s="1"/>
      <c r="C796" s="1"/>
      <c r="D796" s="1"/>
      <c r="E796" s="1"/>
    </row>
    <row r="797" spans="1:5">
      <c r="A797" s="1"/>
      <c r="B797" s="1"/>
      <c r="C797" s="1"/>
      <c r="D797" s="1"/>
      <c r="E797" s="1"/>
    </row>
    <row r="798" spans="1:5">
      <c r="A798" s="1"/>
      <c r="B798" s="1"/>
      <c r="C798" s="1"/>
      <c r="D798" s="1"/>
      <c r="E798" s="1"/>
    </row>
    <row r="799" spans="1:5">
      <c r="A799" s="1"/>
      <c r="B799" s="1"/>
      <c r="C799" s="1"/>
      <c r="D799" s="1"/>
      <c r="E799" s="1"/>
    </row>
    <row r="800" spans="1:5">
      <c r="A800" s="1"/>
      <c r="B800" s="1"/>
      <c r="C800" s="1"/>
      <c r="D800" s="1"/>
      <c r="E800" s="1"/>
    </row>
    <row r="801" spans="1:5">
      <c r="A801" s="1"/>
      <c r="B801" s="1"/>
      <c r="C801" s="1"/>
      <c r="D801" s="1"/>
      <c r="E801" s="1"/>
    </row>
    <row r="802" spans="1:5">
      <c r="A802" s="1"/>
      <c r="B802" s="1"/>
      <c r="C802" s="1"/>
      <c r="D802" s="1"/>
      <c r="E802" s="1"/>
    </row>
    <row r="803" spans="1:5">
      <c r="A803" s="1"/>
      <c r="B803" s="1"/>
      <c r="C803" s="1"/>
      <c r="D803" s="1"/>
      <c r="E803" s="1"/>
    </row>
    <row r="804" spans="1:5">
      <c r="A804" s="1"/>
      <c r="B804" s="1"/>
      <c r="C804" s="1"/>
      <c r="D804" s="1"/>
      <c r="E804" s="1"/>
    </row>
    <row r="805" spans="1:5">
      <c r="A805" s="1"/>
      <c r="B805" s="1"/>
      <c r="C805" s="1"/>
      <c r="D805" s="1"/>
      <c r="E805" s="1"/>
    </row>
    <row r="806" spans="1:5">
      <c r="A806" s="1"/>
      <c r="B806" s="1"/>
      <c r="C806" s="1"/>
      <c r="D806" s="1"/>
      <c r="E806" s="1"/>
    </row>
    <row r="807" spans="1:5">
      <c r="A807" s="1"/>
      <c r="B807" s="1"/>
      <c r="C807" s="1"/>
      <c r="D807" s="1"/>
      <c r="E807" s="1"/>
    </row>
    <row r="808" spans="1:5">
      <c r="A808" s="1"/>
      <c r="B808" s="1"/>
      <c r="C808" s="1"/>
      <c r="D808" s="1"/>
      <c r="E808" s="1"/>
    </row>
    <row r="809" spans="1:5">
      <c r="A809" s="1"/>
      <c r="B809" s="1"/>
      <c r="C809" s="1"/>
      <c r="D809" s="1"/>
      <c r="E809" s="1"/>
    </row>
    <row r="810" spans="1:5">
      <c r="A810" s="1"/>
      <c r="B810" s="1"/>
      <c r="C810" s="1"/>
      <c r="D810" s="1"/>
      <c r="E810" s="1"/>
    </row>
    <row r="811" spans="1:5">
      <c r="A811" s="1"/>
      <c r="B811" s="1"/>
      <c r="C811" s="1"/>
      <c r="D811" s="1"/>
      <c r="E811" s="1"/>
    </row>
    <row r="812" spans="1:5">
      <c r="A812" s="1"/>
      <c r="B812" s="1"/>
      <c r="C812" s="1"/>
      <c r="D812" s="1"/>
      <c r="E812" s="1"/>
    </row>
    <row r="813" spans="1:5">
      <c r="A813" s="1"/>
      <c r="B813" s="1"/>
      <c r="C813" s="1"/>
      <c r="D813" s="1"/>
      <c r="E813" s="1"/>
    </row>
    <row r="814" spans="1:5">
      <c r="A814" s="1"/>
      <c r="B814" s="1"/>
      <c r="C814" s="1"/>
      <c r="D814" s="1"/>
      <c r="E814" s="1"/>
    </row>
    <row r="815" spans="1:5">
      <c r="A815" s="1"/>
      <c r="B815" s="1"/>
      <c r="C815" s="1"/>
      <c r="D815" s="1"/>
      <c r="E815" s="1"/>
    </row>
    <row r="816" spans="1:5">
      <c r="A816" s="1"/>
      <c r="B816" s="1"/>
      <c r="C816" s="1"/>
      <c r="D816" s="1"/>
      <c r="E816" s="1"/>
    </row>
    <row r="817" spans="1:5">
      <c r="A817" s="1"/>
      <c r="B817" s="1"/>
      <c r="C817" s="1"/>
      <c r="D817" s="1"/>
      <c r="E817" s="1"/>
    </row>
    <row r="818" spans="1:5">
      <c r="A818" s="1"/>
      <c r="B818" s="1"/>
      <c r="C818" s="1"/>
      <c r="D818" s="1"/>
      <c r="E818" s="1"/>
    </row>
    <row r="819" spans="1:5">
      <c r="A819" s="1"/>
      <c r="B819" s="1"/>
      <c r="C819" s="1"/>
      <c r="D819" s="1"/>
      <c r="E819" s="1"/>
    </row>
    <row r="820" spans="1:5">
      <c r="A820" s="1"/>
      <c r="B820" s="1"/>
      <c r="C820" s="1"/>
      <c r="D820" s="1"/>
      <c r="E820" s="1"/>
    </row>
    <row r="821" spans="1:5">
      <c r="A821" s="1"/>
      <c r="B821" s="1"/>
      <c r="C821" s="1"/>
      <c r="D821" s="1"/>
      <c r="E821" s="1"/>
    </row>
    <row r="822" spans="1:5">
      <c r="A822" s="1"/>
      <c r="B822" s="1"/>
      <c r="C822" s="1"/>
      <c r="D822" s="1"/>
      <c r="E822" s="1"/>
    </row>
    <row r="823" spans="1:5">
      <c r="A823" s="1"/>
      <c r="B823" s="1"/>
      <c r="C823" s="1"/>
      <c r="D823" s="1"/>
      <c r="E823" s="1"/>
    </row>
    <row r="824" spans="1:5">
      <c r="A824" s="1"/>
      <c r="B824" s="1"/>
      <c r="C824" s="1"/>
      <c r="D824" s="1"/>
      <c r="E824" s="1"/>
    </row>
    <row r="825" spans="1:5">
      <c r="A825" s="1"/>
      <c r="B825" s="1"/>
      <c r="C825" s="1"/>
      <c r="D825" s="1"/>
      <c r="E825" s="1"/>
    </row>
    <row r="826" spans="1:5">
      <c r="A826" s="1"/>
      <c r="B826" s="1"/>
      <c r="C826" s="1"/>
      <c r="D826" s="1"/>
      <c r="E826" s="1"/>
    </row>
    <row r="827" spans="1:5">
      <c r="A827" s="1"/>
      <c r="B827" s="1"/>
      <c r="C827" s="1"/>
      <c r="D827" s="1"/>
      <c r="E827" s="1"/>
    </row>
    <row r="828" spans="1:5">
      <c r="A828" s="1"/>
      <c r="B828" s="1"/>
      <c r="C828" s="1"/>
      <c r="D828" s="1"/>
      <c r="E828" s="1"/>
    </row>
    <row r="829" spans="1:5">
      <c r="A829" s="1"/>
      <c r="B829" s="1"/>
      <c r="C829" s="1"/>
      <c r="D829" s="1"/>
      <c r="E829" s="1"/>
    </row>
    <row r="830" spans="1:5">
      <c r="A830" s="1"/>
      <c r="B830" s="1"/>
      <c r="C830" s="1"/>
      <c r="D830" s="1"/>
      <c r="E830" s="1"/>
    </row>
    <row r="831" spans="1:5">
      <c r="A831" s="1"/>
      <c r="B831" s="1"/>
      <c r="C831" s="1"/>
      <c r="D831" s="1"/>
      <c r="E831" s="1"/>
    </row>
    <row r="832" spans="1:5">
      <c r="A832" s="1"/>
      <c r="B832" s="1"/>
      <c r="C832" s="1"/>
      <c r="D832" s="1"/>
      <c r="E832" s="1"/>
    </row>
    <row r="833" spans="1:5">
      <c r="A833" s="1"/>
      <c r="B833" s="1"/>
      <c r="C833" s="1"/>
      <c r="D833" s="1"/>
      <c r="E833" s="1"/>
    </row>
    <row r="834" spans="1:5">
      <c r="A834" s="1"/>
      <c r="B834" s="1"/>
      <c r="C834" s="1"/>
      <c r="D834" s="1"/>
      <c r="E834" s="1"/>
    </row>
    <row r="835" spans="1:5">
      <c r="A835" s="1"/>
      <c r="B835" s="1"/>
      <c r="C835" s="1"/>
      <c r="D835" s="1"/>
      <c r="E835" s="1"/>
    </row>
    <row r="836" spans="1:5">
      <c r="A836" s="1"/>
      <c r="B836" s="1"/>
      <c r="C836" s="1"/>
      <c r="D836" s="1"/>
      <c r="E836" s="1"/>
    </row>
    <row r="837" spans="1:5">
      <c r="A837" s="1"/>
      <c r="B837" s="1"/>
      <c r="C837" s="1"/>
      <c r="D837" s="1"/>
      <c r="E837" s="1"/>
    </row>
    <row r="838" spans="1:5">
      <c r="A838" s="1"/>
      <c r="B838" s="1"/>
      <c r="C838" s="1"/>
      <c r="D838" s="1"/>
      <c r="E838" s="1"/>
    </row>
    <row r="839" spans="1:5">
      <c r="A839" s="1"/>
      <c r="B839" s="1"/>
      <c r="C839" s="1"/>
      <c r="D839" s="1"/>
      <c r="E839" s="1"/>
    </row>
    <row r="840" spans="1:5">
      <c r="A840" s="1"/>
      <c r="B840" s="1"/>
      <c r="C840" s="1"/>
      <c r="D840" s="1"/>
      <c r="E840" s="1"/>
    </row>
    <row r="841" spans="1:5">
      <c r="A841" s="1"/>
      <c r="B841" s="1"/>
      <c r="C841" s="1"/>
      <c r="D841" s="1"/>
      <c r="E841" s="1"/>
    </row>
    <row r="842" spans="1:5">
      <c r="A842" s="1"/>
      <c r="B842" s="1"/>
      <c r="C842" s="1"/>
      <c r="D842" s="1"/>
      <c r="E842" s="1"/>
    </row>
    <row r="843" spans="1:5">
      <c r="A843" s="1"/>
      <c r="B843" s="1"/>
      <c r="C843" s="1"/>
      <c r="D843" s="1"/>
      <c r="E843" s="1"/>
    </row>
    <row r="844" spans="1:5">
      <c r="A844" s="1"/>
      <c r="B844" s="1"/>
      <c r="C844" s="1"/>
      <c r="D844" s="1"/>
      <c r="E844" s="1"/>
    </row>
    <row r="845" spans="1:5">
      <c r="A845" s="1"/>
      <c r="B845" s="1"/>
      <c r="C845" s="1"/>
      <c r="D845" s="1"/>
      <c r="E845" s="1"/>
    </row>
    <row r="846" spans="1:5">
      <c r="A846" s="1"/>
      <c r="B846" s="1"/>
      <c r="C846" s="1"/>
      <c r="D846" s="1"/>
      <c r="E846" s="1"/>
    </row>
    <row r="847" spans="1:5">
      <c r="A847" s="1"/>
      <c r="B847" s="1"/>
      <c r="C847" s="1"/>
      <c r="D847" s="1"/>
      <c r="E847" s="1"/>
    </row>
    <row r="848" spans="1:5">
      <c r="A848" s="1"/>
      <c r="B848" s="1"/>
      <c r="C848" s="1"/>
      <c r="D848" s="1"/>
      <c r="E848" s="1"/>
    </row>
    <row r="849" spans="1:5">
      <c r="A849" s="1"/>
      <c r="B849" s="1"/>
      <c r="C849" s="1"/>
      <c r="D849" s="1"/>
      <c r="E849" s="1"/>
    </row>
    <row r="850" spans="1:5">
      <c r="A850" s="1"/>
      <c r="B850" s="1"/>
      <c r="C850" s="1"/>
      <c r="D850" s="1"/>
      <c r="E850" s="1"/>
    </row>
    <row r="851" spans="1:5">
      <c r="A851" s="1"/>
      <c r="B851" s="1"/>
      <c r="C851" s="1"/>
      <c r="D851" s="1"/>
      <c r="E851" s="1"/>
    </row>
    <row r="852" spans="1:5">
      <c r="A852" s="1"/>
      <c r="B852" s="1"/>
      <c r="C852" s="1"/>
      <c r="D852" s="1"/>
      <c r="E852" s="1"/>
    </row>
    <row r="853" spans="1:5">
      <c r="A853" s="1"/>
      <c r="B853" s="1"/>
      <c r="C853" s="1"/>
      <c r="D853" s="1"/>
      <c r="E853" s="1"/>
    </row>
    <row r="854" spans="1:5">
      <c r="A854" s="1"/>
      <c r="B854" s="1"/>
      <c r="C854" s="1"/>
      <c r="D854" s="1"/>
      <c r="E854" s="1"/>
    </row>
    <row r="855" spans="1:5">
      <c r="A855" s="1"/>
      <c r="B855" s="1"/>
      <c r="C855" s="1"/>
      <c r="D855" s="1"/>
      <c r="E855" s="1"/>
    </row>
    <row r="856" spans="1:5">
      <c r="A856" s="1"/>
      <c r="B856" s="1"/>
      <c r="C856" s="1"/>
      <c r="D856" s="1"/>
      <c r="E856" s="1"/>
    </row>
    <row r="857" spans="1:5">
      <c r="A857" s="1"/>
      <c r="B857" s="1"/>
      <c r="C857" s="1"/>
      <c r="D857" s="1"/>
      <c r="E857" s="1"/>
    </row>
    <row r="858" spans="1:5">
      <c r="A858" s="1"/>
      <c r="B858" s="1"/>
      <c r="C858" s="1"/>
      <c r="D858" s="1"/>
      <c r="E858" s="1"/>
    </row>
    <row r="859" spans="1:5">
      <c r="A859" s="1"/>
      <c r="B859" s="1"/>
      <c r="C859" s="1"/>
      <c r="D859" s="1"/>
      <c r="E859" s="1"/>
    </row>
    <row r="860" spans="1:5">
      <c r="A860" s="1"/>
      <c r="B860" s="1"/>
      <c r="C860" s="1"/>
      <c r="D860" s="1"/>
      <c r="E860" s="1"/>
    </row>
    <row r="861" spans="1:5">
      <c r="A861" s="1"/>
      <c r="B861" s="1"/>
      <c r="C861" s="1"/>
      <c r="D861" s="1"/>
      <c r="E861" s="1"/>
    </row>
    <row r="862" spans="1:5">
      <c r="A862" s="1"/>
      <c r="B862" s="1"/>
      <c r="C862" s="1"/>
      <c r="D862" s="1"/>
      <c r="E862" s="1"/>
    </row>
    <row r="863" spans="1:5">
      <c r="A863" s="1"/>
      <c r="B863" s="1"/>
      <c r="C863" s="1"/>
      <c r="D863" s="1"/>
      <c r="E863" s="1"/>
    </row>
    <row r="864" spans="1:5">
      <c r="A864" s="1"/>
      <c r="B864" s="1"/>
      <c r="C864" s="1"/>
      <c r="D864" s="1"/>
      <c r="E864" s="1"/>
    </row>
    <row r="865" spans="1:5">
      <c r="A865" s="1"/>
      <c r="B865" s="1"/>
      <c r="C865" s="1"/>
      <c r="D865" s="1"/>
      <c r="E865" s="1"/>
    </row>
    <row r="866" spans="1:5">
      <c r="A866" s="1"/>
      <c r="B866" s="1"/>
      <c r="C866" s="1"/>
      <c r="D866" s="1"/>
      <c r="E866" s="1"/>
    </row>
    <row r="867" spans="1:5">
      <c r="A867" s="1"/>
      <c r="B867" s="1"/>
      <c r="C867" s="1"/>
      <c r="D867" s="1"/>
      <c r="E867" s="1"/>
    </row>
    <row r="868" spans="1:5">
      <c r="A868" s="1"/>
      <c r="B868" s="1"/>
      <c r="C868" s="1"/>
      <c r="D868" s="1"/>
      <c r="E868" s="1"/>
    </row>
    <row r="869" spans="1:5">
      <c r="A869" s="1"/>
      <c r="B869" s="1"/>
      <c r="C869" s="1"/>
      <c r="D869" s="1"/>
      <c r="E869" s="1"/>
    </row>
    <row r="870" spans="1:5">
      <c r="A870" s="1"/>
      <c r="B870" s="1"/>
      <c r="C870" s="1"/>
      <c r="D870" s="1"/>
      <c r="E870" s="1"/>
    </row>
    <row r="871" spans="1:5">
      <c r="A871" s="1"/>
      <c r="B871" s="1"/>
      <c r="C871" s="1"/>
      <c r="D871" s="1"/>
      <c r="E871" s="1"/>
    </row>
    <row r="872" spans="1:5">
      <c r="A872" s="1"/>
      <c r="B872" s="1"/>
      <c r="C872" s="1"/>
      <c r="D872" s="1"/>
      <c r="E872" s="1"/>
    </row>
    <row r="873" spans="1:5">
      <c r="A873" s="1"/>
      <c r="B873" s="1"/>
      <c r="C873" s="1"/>
      <c r="D873" s="1"/>
      <c r="E873" s="1"/>
    </row>
    <row r="874" spans="1:5">
      <c r="A874" s="1"/>
      <c r="B874" s="1"/>
      <c r="C874" s="1"/>
      <c r="D874" s="1"/>
      <c r="E874" s="1"/>
    </row>
    <row r="875" spans="1:5">
      <c r="A875" s="1"/>
      <c r="B875" s="1"/>
      <c r="C875" s="1"/>
      <c r="D875" s="1"/>
      <c r="E875" s="1"/>
    </row>
    <row r="876" spans="1:5">
      <c r="A876" s="1"/>
      <c r="B876" s="1"/>
      <c r="C876" s="1"/>
      <c r="D876" s="1"/>
      <c r="E876" s="1"/>
    </row>
    <row r="877" spans="1:5">
      <c r="A877" s="1"/>
      <c r="B877" s="1"/>
      <c r="C877" s="1"/>
      <c r="D877" s="1"/>
      <c r="E877" s="1"/>
    </row>
    <row r="878" spans="1:5">
      <c r="A878" s="1"/>
      <c r="B878" s="1"/>
      <c r="C878" s="1"/>
      <c r="D878" s="1"/>
      <c r="E878" s="1"/>
    </row>
    <row r="879" spans="1:5">
      <c r="A879" s="1"/>
      <c r="B879" s="1"/>
      <c r="C879" s="1"/>
      <c r="D879" s="1"/>
      <c r="E879" s="1"/>
    </row>
    <row r="880" spans="1:5">
      <c r="A880" s="1"/>
      <c r="B880" s="1"/>
      <c r="C880" s="1"/>
      <c r="D880" s="1"/>
      <c r="E880" s="1"/>
    </row>
    <row r="881" spans="1:5">
      <c r="A881" s="1"/>
      <c r="B881" s="1"/>
      <c r="C881" s="1"/>
      <c r="D881" s="1"/>
      <c r="E881" s="1"/>
    </row>
    <row r="882" spans="1:5">
      <c r="A882" s="1"/>
      <c r="B882" s="1"/>
      <c r="C882" s="1"/>
      <c r="D882" s="1"/>
      <c r="E882" s="1"/>
    </row>
    <row r="883" spans="1:5">
      <c r="A883" s="1"/>
      <c r="B883" s="1"/>
      <c r="C883" s="1"/>
      <c r="D883" s="1"/>
      <c r="E883" s="1"/>
    </row>
    <row r="884" spans="1:5">
      <c r="A884" s="1"/>
      <c r="B884" s="1"/>
      <c r="C884" s="1"/>
      <c r="D884" s="1"/>
      <c r="E884" s="1"/>
    </row>
    <row r="885" spans="1:5">
      <c r="A885" s="1"/>
      <c r="B885" s="1"/>
      <c r="C885" s="1"/>
      <c r="D885" s="1"/>
      <c r="E885" s="1"/>
    </row>
    <row r="886" spans="1:5">
      <c r="A886" s="1"/>
      <c r="B886" s="1"/>
      <c r="C886" s="1"/>
      <c r="D886" s="1"/>
      <c r="E886" s="1"/>
    </row>
    <row r="887" spans="1:5">
      <c r="A887" s="1"/>
      <c r="B887" s="1"/>
      <c r="C887" s="1"/>
      <c r="D887" s="1"/>
      <c r="E887" s="1"/>
    </row>
    <row r="888" spans="1:5">
      <c r="A888" s="1"/>
      <c r="B888" s="1"/>
      <c r="C888" s="1"/>
      <c r="D888" s="1"/>
      <c r="E888" s="1"/>
    </row>
    <row r="889" spans="1:5">
      <c r="A889" s="1"/>
      <c r="B889" s="1"/>
      <c r="C889" s="1"/>
      <c r="D889" s="1"/>
      <c r="E889" s="1"/>
    </row>
    <row r="890" spans="1:5">
      <c r="A890" s="1"/>
      <c r="B890" s="1"/>
      <c r="C890" s="1"/>
      <c r="D890" s="1"/>
      <c r="E890" s="1"/>
    </row>
    <row r="891" spans="1:5">
      <c r="A891" s="1"/>
      <c r="B891" s="1"/>
      <c r="C891" s="1"/>
      <c r="D891" s="1"/>
      <c r="E891" s="1"/>
    </row>
    <row r="892" spans="1:5">
      <c r="A892" s="1"/>
      <c r="B892" s="1"/>
      <c r="C892" s="1"/>
      <c r="D892" s="1"/>
      <c r="E892" s="1"/>
    </row>
    <row r="893" spans="1:5">
      <c r="A893" s="1"/>
      <c r="B893" s="1"/>
      <c r="C893" s="1"/>
      <c r="D893" s="1"/>
      <c r="E893" s="1"/>
    </row>
    <row r="894" spans="1:5">
      <c r="A894" s="1"/>
      <c r="B894" s="1"/>
      <c r="C894" s="1"/>
      <c r="D894" s="1"/>
      <c r="E894" s="1"/>
    </row>
    <row r="895" spans="1:5">
      <c r="A895" s="1"/>
      <c r="B895" s="1"/>
      <c r="C895" s="1"/>
      <c r="D895" s="1"/>
      <c r="E895" s="1"/>
    </row>
    <row r="896" spans="1:5">
      <c r="A896" s="1"/>
      <c r="B896" s="1"/>
      <c r="C896" s="1"/>
      <c r="D896" s="1"/>
      <c r="E896" s="1"/>
    </row>
    <row r="897" spans="1:5">
      <c r="A897" s="1"/>
      <c r="B897" s="1"/>
      <c r="C897" s="1"/>
      <c r="D897" s="1"/>
      <c r="E897" s="1"/>
    </row>
    <row r="898" spans="1:5">
      <c r="A898" s="1"/>
      <c r="B898" s="1"/>
      <c r="C898" s="1"/>
      <c r="D898" s="1"/>
      <c r="E898" s="1"/>
    </row>
    <row r="899" spans="1:5">
      <c r="A899" s="1"/>
      <c r="B899" s="1"/>
      <c r="C899" s="1"/>
      <c r="D899" s="1"/>
      <c r="E899" s="1"/>
    </row>
    <row r="900" spans="1:5">
      <c r="A900" s="1"/>
      <c r="B900" s="1"/>
      <c r="C900" s="1"/>
      <c r="D900" s="1"/>
      <c r="E900" s="1"/>
    </row>
    <row r="901" spans="1:5">
      <c r="A901" s="1"/>
      <c r="B901" s="1"/>
      <c r="C901" s="1"/>
      <c r="D901" s="1"/>
      <c r="E901" s="1"/>
    </row>
    <row r="902" spans="1:5">
      <c r="A902" s="1"/>
      <c r="B902" s="1"/>
      <c r="C902" s="1"/>
      <c r="D902" s="1"/>
      <c r="E902" s="1"/>
    </row>
    <row r="903" spans="1:5">
      <c r="A903" s="1"/>
      <c r="B903" s="1"/>
      <c r="C903" s="1"/>
      <c r="D903" s="1"/>
      <c r="E903" s="1"/>
    </row>
    <row r="904" spans="1:5">
      <c r="A904" s="1"/>
      <c r="B904" s="1"/>
      <c r="C904" s="1"/>
      <c r="D904" s="1"/>
      <c r="E904" s="1"/>
    </row>
    <row r="905" spans="1:5">
      <c r="A905" s="1"/>
      <c r="B905" s="1"/>
      <c r="C905" s="1"/>
      <c r="D905" s="1"/>
      <c r="E905" s="1"/>
    </row>
    <row r="906" spans="1:5">
      <c r="A906" s="1"/>
      <c r="B906" s="1"/>
      <c r="C906" s="1"/>
      <c r="D906" s="1"/>
      <c r="E906" s="1"/>
    </row>
    <row r="907" spans="1:5">
      <c r="A907" s="1"/>
      <c r="B907" s="1"/>
      <c r="C907" s="1"/>
      <c r="D907" s="1"/>
      <c r="E907" s="1"/>
    </row>
    <row r="908" spans="1:5">
      <c r="A908" s="1"/>
      <c r="B908" s="1"/>
      <c r="C908" s="1"/>
      <c r="D908" s="1"/>
      <c r="E908" s="1"/>
    </row>
    <row r="909" spans="1:5">
      <c r="A909" s="1"/>
      <c r="B909" s="1"/>
      <c r="C909" s="1"/>
      <c r="D909" s="1"/>
      <c r="E909" s="1"/>
    </row>
    <row r="910" spans="1:5">
      <c r="A910" s="1"/>
      <c r="B910" s="1"/>
      <c r="C910" s="1"/>
      <c r="D910" s="1"/>
      <c r="E910" s="1"/>
    </row>
    <row r="911" spans="1:5">
      <c r="A911" s="1"/>
      <c r="B911" s="1"/>
      <c r="C911" s="1"/>
      <c r="D911" s="1"/>
      <c r="E911" s="1"/>
    </row>
    <row r="912" spans="1:5">
      <c r="A912" s="1"/>
      <c r="B912" s="1"/>
      <c r="C912" s="1"/>
      <c r="D912" s="1"/>
      <c r="E912" s="1"/>
    </row>
    <row r="913" spans="1:5">
      <c r="A913" s="1"/>
      <c r="B913" s="1"/>
      <c r="C913" s="1"/>
      <c r="D913" s="1"/>
      <c r="E913" s="1"/>
    </row>
    <row r="914" spans="1:5">
      <c r="A914" s="1"/>
      <c r="B914" s="1"/>
      <c r="C914" s="1"/>
      <c r="D914" s="1"/>
      <c r="E914" s="1"/>
    </row>
    <row r="915" spans="1:5">
      <c r="A915" s="1"/>
      <c r="B915" s="1"/>
      <c r="C915" s="1"/>
      <c r="D915" s="1"/>
      <c r="E915" s="1"/>
    </row>
    <row r="916" spans="1:5">
      <c r="A916" s="1"/>
      <c r="B916" s="1"/>
      <c r="C916" s="1"/>
      <c r="D916" s="1"/>
      <c r="E916" s="1"/>
    </row>
    <row r="917" spans="1:5">
      <c r="A917" s="1"/>
      <c r="B917" s="1"/>
      <c r="C917" s="1"/>
      <c r="D917" s="1"/>
      <c r="E917" s="1"/>
    </row>
    <row r="918" spans="1:5">
      <c r="A918" s="1"/>
      <c r="B918" s="1"/>
      <c r="C918" s="1"/>
      <c r="D918" s="1"/>
      <c r="E918" s="1"/>
    </row>
    <row r="919" spans="1:5">
      <c r="A919" s="1"/>
      <c r="B919" s="1"/>
      <c r="C919" s="1"/>
      <c r="D919" s="1"/>
      <c r="E919" s="1"/>
    </row>
    <row r="920" spans="1:5">
      <c r="A920" s="1"/>
      <c r="B920" s="1"/>
      <c r="C920" s="1"/>
      <c r="D920" s="1"/>
      <c r="E920" s="1"/>
    </row>
    <row r="921" spans="1:5">
      <c r="A921" s="1"/>
      <c r="B921" s="1"/>
      <c r="C921" s="1"/>
      <c r="D921" s="1"/>
      <c r="E921" s="1"/>
    </row>
    <row r="922" spans="1:5">
      <c r="A922" s="1"/>
      <c r="B922" s="1"/>
      <c r="C922" s="1"/>
      <c r="D922" s="1"/>
      <c r="E922" s="1"/>
    </row>
    <row r="923" spans="1:5">
      <c r="A923" s="1"/>
      <c r="B923" s="1"/>
      <c r="C923" s="1"/>
      <c r="D923" s="1"/>
      <c r="E923" s="1"/>
    </row>
    <row r="924" spans="1:5">
      <c r="A924" s="1"/>
      <c r="B924" s="1"/>
      <c r="C924" s="1"/>
      <c r="D924" s="1"/>
      <c r="E924" s="1"/>
    </row>
    <row r="925" spans="1:5">
      <c r="A925" s="1"/>
      <c r="B925" s="1"/>
      <c r="C925" s="1"/>
      <c r="D925" s="1"/>
      <c r="E925" s="1"/>
    </row>
    <row r="926" spans="1:5">
      <c r="A926" s="1"/>
      <c r="B926" s="1"/>
      <c r="C926" s="1"/>
      <c r="D926" s="1"/>
      <c r="E926" s="1"/>
    </row>
    <row r="927" spans="1:5">
      <c r="A927" s="1"/>
      <c r="B927" s="1"/>
      <c r="C927" s="1"/>
      <c r="D927" s="1"/>
      <c r="E927" s="1"/>
    </row>
    <row r="928" spans="1:5">
      <c r="A928" s="1"/>
      <c r="B928" s="1"/>
      <c r="C928" s="1"/>
      <c r="D928" s="1"/>
      <c r="E928" s="1"/>
    </row>
    <row r="929" spans="1:5">
      <c r="A929" s="1"/>
      <c r="B929" s="1"/>
      <c r="C929" s="1"/>
      <c r="D929" s="1"/>
      <c r="E929" s="1"/>
    </row>
    <row r="930" spans="1:5">
      <c r="A930" s="1"/>
      <c r="B930" s="1"/>
      <c r="C930" s="1"/>
      <c r="D930" s="1"/>
      <c r="E930" s="1"/>
    </row>
    <row r="931" spans="1:5">
      <c r="A931" s="1"/>
      <c r="B931" s="1"/>
      <c r="C931" s="1"/>
      <c r="D931" s="1"/>
      <c r="E931" s="1"/>
    </row>
    <row r="932" spans="1:5">
      <c r="A932" s="1"/>
      <c r="B932" s="1"/>
      <c r="C932" s="1"/>
      <c r="D932" s="1"/>
      <c r="E932" s="1"/>
    </row>
    <row r="933" spans="1:5">
      <c r="A933" s="1"/>
      <c r="B933" s="1"/>
      <c r="C933" s="1"/>
      <c r="D933" s="1"/>
      <c r="E933" s="1"/>
    </row>
    <row r="934" spans="1:5">
      <c r="A934" s="1"/>
      <c r="B934" s="1"/>
      <c r="C934" s="1"/>
      <c r="D934" s="1"/>
      <c r="E934" s="1"/>
    </row>
    <row r="935" spans="1:5">
      <c r="A935" s="1"/>
      <c r="B935" s="1"/>
      <c r="C935" s="1"/>
      <c r="D935" s="1"/>
      <c r="E935" s="1"/>
    </row>
    <row r="936" spans="1:5">
      <c r="A936" s="1"/>
      <c r="B936" s="1"/>
      <c r="C936" s="1"/>
      <c r="D936" s="1"/>
      <c r="E936" s="1"/>
    </row>
    <row r="937" spans="1:5">
      <c r="A937" s="1"/>
      <c r="B937" s="1"/>
      <c r="C937" s="1"/>
      <c r="D937" s="1"/>
      <c r="E937" s="1"/>
    </row>
    <row r="938" spans="1:5">
      <c r="A938" s="1"/>
      <c r="B938" s="1"/>
      <c r="C938" s="1"/>
      <c r="D938" s="1"/>
      <c r="E938" s="1"/>
    </row>
    <row r="939" spans="1:5">
      <c r="A939" s="1"/>
      <c r="B939" s="1"/>
      <c r="C939" s="1"/>
      <c r="D939" s="1"/>
      <c r="E939" s="1"/>
    </row>
    <row r="940" spans="1:5">
      <c r="A940" s="1"/>
      <c r="B940" s="1"/>
      <c r="C940" s="1"/>
      <c r="D940" s="1"/>
      <c r="E940" s="1"/>
    </row>
    <row r="941" spans="1:5">
      <c r="A941" s="1"/>
      <c r="B941" s="1"/>
      <c r="C941" s="1"/>
      <c r="D941" s="1"/>
      <c r="E941" s="1"/>
    </row>
    <row r="942" spans="1:5">
      <c r="A942" s="1"/>
      <c r="B942" s="1"/>
      <c r="C942" s="1"/>
      <c r="D942" s="1"/>
      <c r="E942" s="1"/>
    </row>
    <row r="943" spans="1:5">
      <c r="A943" s="1"/>
      <c r="B943" s="1"/>
      <c r="C943" s="1"/>
      <c r="D943" s="1"/>
      <c r="E943" s="1"/>
    </row>
    <row r="944" spans="1:5">
      <c r="A944" s="1"/>
      <c r="B944" s="1"/>
      <c r="C944" s="1"/>
      <c r="D944" s="1"/>
      <c r="E944" s="1"/>
    </row>
    <row r="945" spans="1:5">
      <c r="A945" s="1"/>
      <c r="B945" s="1"/>
      <c r="C945" s="1"/>
      <c r="D945" s="1"/>
      <c r="E945" s="1"/>
    </row>
    <row r="946" spans="1:5">
      <c r="A946" s="1"/>
      <c r="B946" s="1"/>
      <c r="C946" s="1"/>
      <c r="D946" s="1"/>
      <c r="E946" s="1"/>
    </row>
    <row r="947" spans="1:5">
      <c r="A947" s="1"/>
      <c r="B947" s="1"/>
      <c r="C947" s="1"/>
      <c r="D947" s="1"/>
      <c r="E947" s="1"/>
    </row>
    <row r="948" spans="1:5">
      <c r="A948" s="1"/>
      <c r="B948" s="1"/>
      <c r="C948" s="1"/>
      <c r="D948" s="1"/>
      <c r="E948" s="1"/>
    </row>
    <row r="949" spans="1:5">
      <c r="A949" s="1"/>
      <c r="B949" s="1"/>
      <c r="C949" s="1"/>
      <c r="D949" s="1"/>
      <c r="E949" s="1"/>
    </row>
    <row r="950" spans="1:5">
      <c r="A950" s="1"/>
      <c r="B950" s="1"/>
      <c r="C950" s="1"/>
      <c r="D950" s="1"/>
      <c r="E950" s="1"/>
    </row>
    <row r="951" spans="1:5">
      <c r="A951" s="1"/>
      <c r="B951" s="1"/>
      <c r="C951" s="1"/>
      <c r="D951" s="1"/>
      <c r="E951" s="1"/>
    </row>
    <row r="952" spans="1:5">
      <c r="A952" s="1"/>
      <c r="B952" s="1"/>
      <c r="C952" s="1"/>
      <c r="D952" s="1"/>
      <c r="E952" s="1"/>
    </row>
    <row r="953" spans="1:5">
      <c r="A953" s="1"/>
      <c r="B953" s="1"/>
      <c r="C953" s="1"/>
      <c r="D953" s="1"/>
      <c r="E953" s="1"/>
    </row>
    <row r="954" spans="1:5">
      <c r="A954" s="1"/>
      <c r="B954" s="1"/>
      <c r="C954" s="1"/>
      <c r="D954" s="1"/>
      <c r="E954" s="1"/>
    </row>
    <row r="955" spans="1:5">
      <c r="A955" s="1"/>
      <c r="B955" s="1"/>
      <c r="C955" s="1"/>
      <c r="D955" s="1"/>
      <c r="E955" s="1"/>
    </row>
    <row r="956" spans="1:5">
      <c r="A956" s="1"/>
      <c r="B956" s="1"/>
      <c r="C956" s="1"/>
      <c r="D956" s="1"/>
      <c r="E956" s="1"/>
    </row>
    <row r="957" spans="1:5">
      <c r="A957" s="1"/>
      <c r="B957" s="1"/>
      <c r="C957" s="1"/>
      <c r="D957" s="1"/>
      <c r="E957" s="1"/>
    </row>
    <row r="958" spans="1:5">
      <c r="A958" s="1"/>
      <c r="B958" s="1"/>
      <c r="C958" s="1"/>
      <c r="D958" s="1"/>
      <c r="E958" s="1"/>
    </row>
    <row r="959" spans="1:5">
      <c r="A959" s="1"/>
      <c r="B959" s="1"/>
      <c r="C959" s="1"/>
      <c r="D959" s="1"/>
      <c r="E959" s="1"/>
    </row>
    <row r="960" spans="1:5">
      <c r="A960" s="1"/>
      <c r="B960" s="1"/>
      <c r="C960" s="1"/>
      <c r="D960" s="1"/>
      <c r="E960" s="1"/>
    </row>
    <row r="961" spans="1:5">
      <c r="A961" s="1"/>
      <c r="B961" s="1"/>
      <c r="C961" s="1"/>
      <c r="D961" s="1"/>
      <c r="E961" s="1"/>
    </row>
    <row r="962" spans="1:5">
      <c r="A962" s="1"/>
      <c r="B962" s="1"/>
      <c r="C962" s="1"/>
      <c r="D962" s="1"/>
      <c r="E962" s="1"/>
    </row>
    <row r="963" spans="1:5">
      <c r="A963" s="1"/>
      <c r="B963" s="1"/>
      <c r="C963" s="1"/>
      <c r="D963" s="1"/>
      <c r="E963" s="1"/>
    </row>
    <row r="964" spans="1:5">
      <c r="A964" s="1"/>
      <c r="B964" s="1"/>
      <c r="C964" s="1"/>
      <c r="D964" s="1"/>
      <c r="E964" s="1"/>
    </row>
    <row r="965" spans="1:5">
      <c r="A965" s="1"/>
      <c r="B965" s="1"/>
      <c r="C965" s="1"/>
      <c r="D965" s="1"/>
      <c r="E965" s="1"/>
    </row>
    <row r="966" spans="1:5">
      <c r="A966" s="1"/>
      <c r="B966" s="1"/>
      <c r="C966" s="1"/>
      <c r="D966" s="1"/>
      <c r="E966" s="1"/>
    </row>
    <row r="967" spans="1:5">
      <c r="A967" s="1"/>
      <c r="B967" s="1"/>
      <c r="C967" s="1"/>
      <c r="D967" s="1"/>
      <c r="E967" s="1"/>
    </row>
    <row r="968" spans="1:5">
      <c r="A968" s="1"/>
      <c r="B968" s="1"/>
      <c r="C968" s="1"/>
      <c r="D968" s="1"/>
      <c r="E968" s="1"/>
    </row>
    <row r="969" spans="1:5">
      <c r="A969" s="1"/>
      <c r="B969" s="1"/>
      <c r="C969" s="1"/>
      <c r="D969" s="1"/>
      <c r="E969" s="1"/>
    </row>
    <row r="970" spans="1:5">
      <c r="A970" s="1"/>
      <c r="B970" s="1"/>
      <c r="C970" s="1"/>
      <c r="D970" s="1"/>
      <c r="E970" s="1"/>
    </row>
    <row r="971" spans="1:5">
      <c r="A971" s="1"/>
      <c r="B971" s="1"/>
      <c r="C971" s="1"/>
      <c r="D971" s="1"/>
      <c r="E971" s="1"/>
    </row>
    <row r="972" spans="1:5">
      <c r="A972" s="1"/>
      <c r="B972" s="1"/>
      <c r="C972" s="1"/>
      <c r="D972" s="1"/>
      <c r="E972" s="1"/>
    </row>
    <row r="973" spans="1:5">
      <c r="A973" s="1"/>
      <c r="B973" s="1"/>
      <c r="C973" s="1"/>
      <c r="D973" s="1"/>
      <c r="E973" s="1"/>
    </row>
    <row r="974" spans="1:5">
      <c r="A974" s="1"/>
      <c r="B974" s="1"/>
      <c r="C974" s="1"/>
      <c r="D974" s="1"/>
      <c r="E974" s="1"/>
    </row>
    <row r="975" spans="1:5">
      <c r="A975" s="1"/>
      <c r="B975" s="1"/>
      <c r="C975" s="1"/>
      <c r="D975" s="1"/>
      <c r="E975" s="1"/>
    </row>
    <row r="976" spans="1:5">
      <c r="A976" s="1"/>
      <c r="B976" s="1"/>
      <c r="C976" s="1"/>
      <c r="D976" s="1"/>
      <c r="E976" s="1"/>
    </row>
    <row r="977" spans="1:5">
      <c r="A977" s="1"/>
      <c r="B977" s="1"/>
      <c r="C977" s="1"/>
      <c r="D977" s="1"/>
      <c r="E977" s="1"/>
    </row>
    <row r="978" spans="1:5">
      <c r="A978" s="1"/>
      <c r="B978" s="1"/>
      <c r="C978" s="1"/>
      <c r="D978" s="1"/>
      <c r="E978" s="1"/>
    </row>
    <row r="979" spans="1:5">
      <c r="A979" s="1"/>
      <c r="B979" s="1"/>
      <c r="C979" s="1"/>
      <c r="D979" s="1"/>
      <c r="E979" s="1"/>
    </row>
    <row r="980" spans="1:5">
      <c r="A980" s="1"/>
      <c r="B980" s="1"/>
      <c r="C980" s="1"/>
      <c r="D980" s="1"/>
      <c r="E980" s="1"/>
    </row>
    <row r="981" spans="1:5">
      <c r="A981" s="1"/>
      <c r="B981" s="1"/>
      <c r="C981" s="1"/>
      <c r="D981" s="1"/>
      <c r="E981" s="1"/>
    </row>
    <row r="982" spans="1:5">
      <c r="A982" s="1"/>
      <c r="B982" s="1"/>
      <c r="C982" s="1"/>
      <c r="D982" s="1"/>
      <c r="E982" s="1"/>
    </row>
    <row r="983" spans="1:5">
      <c r="A983" s="1"/>
      <c r="B983" s="1"/>
      <c r="C983" s="1"/>
      <c r="D983" s="1"/>
      <c r="E983" s="1"/>
    </row>
    <row r="984" spans="1:5">
      <c r="A984" s="1"/>
      <c r="B984" s="1"/>
      <c r="C984" s="1"/>
      <c r="D984" s="1"/>
      <c r="E984" s="1"/>
    </row>
    <row r="985" spans="1:5">
      <c r="A985" s="1"/>
      <c r="B985" s="1"/>
      <c r="C985" s="1"/>
      <c r="D985" s="1"/>
      <c r="E985" s="1"/>
    </row>
    <row r="986" spans="1:5">
      <c r="A986" s="1"/>
      <c r="B986" s="1"/>
      <c r="C986" s="1"/>
      <c r="D986" s="1"/>
      <c r="E986" s="1"/>
    </row>
    <row r="987" spans="1:5">
      <c r="A987" s="1"/>
      <c r="B987" s="1"/>
      <c r="C987" s="1"/>
      <c r="D987" s="1"/>
      <c r="E987" s="1"/>
    </row>
    <row r="988" spans="1:5">
      <c r="A988" s="1"/>
      <c r="B988" s="1"/>
      <c r="C988" s="1"/>
      <c r="D988" s="1"/>
      <c r="E988" s="1"/>
    </row>
    <row r="989" spans="1:5">
      <c r="A989" s="1"/>
      <c r="B989" s="1"/>
      <c r="C989" s="1"/>
      <c r="D989" s="1"/>
      <c r="E989" s="1"/>
    </row>
    <row r="990" spans="1:5">
      <c r="A990" s="1"/>
      <c r="B990" s="1"/>
      <c r="C990" s="1"/>
      <c r="D990" s="1"/>
      <c r="E990" s="1"/>
    </row>
    <row r="991" spans="1:5">
      <c r="A991" s="1"/>
      <c r="B991" s="1"/>
      <c r="C991" s="1"/>
      <c r="D991" s="1"/>
      <c r="E991" s="1"/>
    </row>
    <row r="992" spans="1:5">
      <c r="A992" s="1"/>
      <c r="B992" s="1"/>
      <c r="C992" s="1"/>
      <c r="D992" s="1"/>
      <c r="E992" s="1"/>
    </row>
    <row r="993" spans="1:5">
      <c r="A993" s="1"/>
      <c r="B993" s="1"/>
      <c r="C993" s="1"/>
      <c r="D993" s="1"/>
      <c r="E993" s="1"/>
    </row>
    <row r="994" spans="1:5">
      <c r="A994" s="1"/>
      <c r="B994" s="1"/>
      <c r="C994" s="1"/>
      <c r="D994" s="1"/>
      <c r="E994" s="1"/>
    </row>
    <row r="995" spans="1:5">
      <c r="A995" s="1"/>
      <c r="B995" s="1"/>
      <c r="C995" s="1"/>
      <c r="D995" s="1"/>
      <c r="E995" s="1"/>
    </row>
    <row r="996" spans="1:5">
      <c r="A996" s="1"/>
      <c r="B996" s="1"/>
      <c r="C996" s="1"/>
      <c r="D996" s="1"/>
      <c r="E996" s="1"/>
    </row>
    <row r="997" spans="1:5">
      <c r="A997" s="1"/>
      <c r="B997" s="1"/>
      <c r="C997" s="1"/>
      <c r="D997" s="1"/>
      <c r="E997" s="1"/>
    </row>
    <row r="998" spans="1:5">
      <c r="A998" s="1"/>
      <c r="B998" s="1"/>
      <c r="C998" s="1"/>
      <c r="D998" s="1"/>
      <c r="E998" s="1"/>
    </row>
    <row r="999" spans="1:5">
      <c r="A999" s="1"/>
      <c r="B999" s="1"/>
      <c r="C999" s="1"/>
      <c r="D999" s="1"/>
      <c r="E999" s="1"/>
    </row>
    <row r="1000" spans="1:5">
      <c r="A1000" s="1"/>
      <c r="B1000" s="1"/>
      <c r="C1000" s="1"/>
      <c r="D1000" s="1"/>
      <c r="E1000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11"/>
  <sheetViews>
    <sheetView zoomScale="190" zoomScaleNormal="190" workbookViewId="0">
      <selection activeCell="G11" sqref="G11"/>
    </sheetView>
  </sheetViews>
  <sheetFormatPr defaultRowHeight="15"/>
  <cols>
    <col min="1" max="1" width="12.28515625" customWidth="1"/>
    <col min="2" max="2" width="12.5703125" customWidth="1"/>
    <col min="3" max="3" width="10" bestFit="1" customWidth="1"/>
    <col min="5" max="5" width="9.140625" customWidth="1"/>
    <col min="6" max="6" width="11.28515625" bestFit="1" customWidth="1"/>
    <col min="7" max="7" width="11.140625" bestFit="1" customWidth="1"/>
    <col min="8" max="8" width="10" bestFit="1" customWidth="1"/>
  </cols>
  <sheetData>
    <row r="1" spans="1:9">
      <c r="A1" s="17" t="s">
        <v>0</v>
      </c>
      <c r="B1" s="17" t="s">
        <v>52</v>
      </c>
      <c r="C1" s="17" t="s">
        <v>16</v>
      </c>
      <c r="D1" s="17" t="s">
        <v>53</v>
      </c>
      <c r="F1" s="17" t="s">
        <v>0</v>
      </c>
      <c r="G1" s="17" t="s">
        <v>52</v>
      </c>
      <c r="H1" s="17" t="s">
        <v>16</v>
      </c>
      <c r="I1" s="17" t="s">
        <v>53</v>
      </c>
    </row>
    <row r="2" spans="1:9">
      <c r="A2" s="8" t="s">
        <v>54</v>
      </c>
      <c r="B2" s="8" t="s">
        <v>69</v>
      </c>
      <c r="C2" s="8" t="s">
        <v>56</v>
      </c>
      <c r="D2" s="8">
        <v>99</v>
      </c>
      <c r="F2" t="str" cm="1">
        <f t="array" ref="F2:I8">_xlfn.UNIQUE(A2:D11,0,0)</f>
        <v>Shaktimaan</v>
      </c>
      <c r="G2" t="str">
        <v>Zandubalm</v>
      </c>
      <c r="H2" t="str">
        <v>South City</v>
      </c>
      <c r="I2">
        <v>99</v>
      </c>
    </row>
    <row r="3" spans="1:9">
      <c r="A3" s="8" t="s">
        <v>57</v>
      </c>
      <c r="B3" s="8" t="s">
        <v>58</v>
      </c>
      <c r="C3" s="8" t="s">
        <v>59</v>
      </c>
      <c r="D3" s="8">
        <v>65</v>
      </c>
      <c r="F3" t="str">
        <v>Ironman</v>
      </c>
      <c r="G3" t="str">
        <v>Tigerbalm</v>
      </c>
      <c r="H3" t="str">
        <v>North City</v>
      </c>
      <c r="I3">
        <v>65</v>
      </c>
    </row>
    <row r="4" spans="1:9">
      <c r="A4" s="8" t="s">
        <v>60</v>
      </c>
      <c r="B4" s="8" t="s">
        <v>61</v>
      </c>
      <c r="C4" s="8" t="s">
        <v>62</v>
      </c>
      <c r="D4" s="8">
        <v>32</v>
      </c>
      <c r="F4" t="str">
        <v>Superman</v>
      </c>
      <c r="G4" t="str">
        <v>Toothpaste</v>
      </c>
      <c r="H4" t="str">
        <v>West City</v>
      </c>
      <c r="I4">
        <v>32</v>
      </c>
    </row>
    <row r="5" spans="1:9">
      <c r="A5" s="8" t="s">
        <v>63</v>
      </c>
      <c r="B5" s="8" t="s">
        <v>64</v>
      </c>
      <c r="C5" s="8" t="s">
        <v>56</v>
      </c>
      <c r="D5" s="8">
        <v>65</v>
      </c>
      <c r="F5" t="str">
        <v>Thor</v>
      </c>
      <c r="G5" t="str">
        <v>Toothbrush</v>
      </c>
      <c r="H5" t="str">
        <v>South City</v>
      </c>
      <c r="I5">
        <v>65</v>
      </c>
    </row>
    <row r="6" spans="1:9">
      <c r="A6" s="8" t="s">
        <v>65</v>
      </c>
      <c r="B6" s="8" t="s">
        <v>55</v>
      </c>
      <c r="C6" s="8" t="s">
        <v>59</v>
      </c>
      <c r="D6" s="8">
        <v>98</v>
      </c>
      <c r="F6" t="str">
        <v>Batman</v>
      </c>
      <c r="G6" t="str">
        <v>Iodex</v>
      </c>
      <c r="H6" t="str">
        <v>North City</v>
      </c>
      <c r="I6">
        <v>98</v>
      </c>
    </row>
    <row r="7" spans="1:9">
      <c r="A7" s="8" t="s">
        <v>66</v>
      </c>
      <c r="B7" s="8" t="s">
        <v>58</v>
      </c>
      <c r="C7" s="8" t="s">
        <v>62</v>
      </c>
      <c r="D7" s="8">
        <v>65</v>
      </c>
      <c r="F7" t="str">
        <v>Spiderman</v>
      </c>
      <c r="G7" t="str">
        <v>Tigerbalm</v>
      </c>
      <c r="H7" t="str">
        <v>West City</v>
      </c>
      <c r="I7">
        <v>65</v>
      </c>
    </row>
    <row r="8" spans="1:9">
      <c r="A8" s="8" t="s">
        <v>54</v>
      </c>
      <c r="B8" s="8" t="s">
        <v>69</v>
      </c>
      <c r="C8" s="8" t="s">
        <v>56</v>
      </c>
      <c r="D8" s="8">
        <v>99</v>
      </c>
      <c r="F8" t="str">
        <v>Ratman</v>
      </c>
      <c r="G8" t="str">
        <v>Zandubalm</v>
      </c>
      <c r="H8" t="str">
        <v>West City</v>
      </c>
      <c r="I8">
        <v>54</v>
      </c>
    </row>
    <row r="9" spans="1:9">
      <c r="A9" s="8" t="s">
        <v>65</v>
      </c>
      <c r="B9" s="8" t="s">
        <v>55</v>
      </c>
      <c r="C9" s="8" t="s">
        <v>59</v>
      </c>
      <c r="D9" s="8">
        <v>98</v>
      </c>
    </row>
    <row r="10" spans="1:9">
      <c r="A10" s="8" t="s">
        <v>70</v>
      </c>
      <c r="B10" s="8" t="s">
        <v>69</v>
      </c>
      <c r="C10" s="8" t="s">
        <v>62</v>
      </c>
      <c r="D10" s="8">
        <v>54</v>
      </c>
    </row>
    <row r="11" spans="1:9">
      <c r="A11" s="8" t="s">
        <v>54</v>
      </c>
      <c r="B11" s="8" t="s">
        <v>69</v>
      </c>
      <c r="C11" s="8" t="s">
        <v>56</v>
      </c>
      <c r="D11" s="8">
        <v>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11"/>
  <sheetViews>
    <sheetView topLeftCell="B1" zoomScale="160" zoomScaleNormal="160" workbookViewId="0">
      <selection activeCell="H10" sqref="H10"/>
    </sheetView>
  </sheetViews>
  <sheetFormatPr defaultRowHeight="15"/>
  <cols>
    <col min="1" max="1" width="11.7109375" bestFit="1" customWidth="1"/>
    <col min="2" max="2" width="11.28515625" bestFit="1" customWidth="1"/>
    <col min="3" max="3" width="12.5703125" customWidth="1"/>
    <col min="4" max="4" width="10" bestFit="1" customWidth="1"/>
    <col min="6" max="6" width="11.7109375" bestFit="1" customWidth="1"/>
    <col min="7" max="7" width="12" customWidth="1"/>
    <col min="8" max="8" width="11.28515625" bestFit="1" customWidth="1"/>
    <col min="9" max="9" width="9.85546875" customWidth="1"/>
  </cols>
  <sheetData>
    <row r="1" spans="1:11">
      <c r="A1" s="10"/>
      <c r="B1" s="10" t="s">
        <v>0</v>
      </c>
      <c r="C1" s="10" t="s">
        <v>52</v>
      </c>
      <c r="D1" s="10" t="s">
        <v>16</v>
      </c>
      <c r="E1" s="10" t="s">
        <v>53</v>
      </c>
      <c r="F1" s="10" t="s">
        <v>51</v>
      </c>
      <c r="G1" s="11" t="s">
        <v>51</v>
      </c>
      <c r="H1" s="10" t="s">
        <v>0</v>
      </c>
      <c r="I1" s="10" t="s">
        <v>52</v>
      </c>
      <c r="J1" s="10" t="s">
        <v>16</v>
      </c>
      <c r="K1" s="10" t="s">
        <v>53</v>
      </c>
    </row>
    <row r="2" spans="1:11">
      <c r="A2" s="8"/>
      <c r="B2" s="8" t="s">
        <v>54</v>
      </c>
      <c r="C2" s="8" t="s">
        <v>55</v>
      </c>
      <c r="D2" s="8" t="s">
        <v>56</v>
      </c>
      <c r="E2" s="8">
        <v>45</v>
      </c>
      <c r="F2" s="8">
        <v>1001</v>
      </c>
      <c r="G2">
        <v>1002</v>
      </c>
      <c r="H2" t="str">
        <f>_xlfn.XLOOKUP($G$2,$F$2:$F$11,B2:B11)</f>
        <v>Ironman</v>
      </c>
      <c r="I2" t="str">
        <f t="shared" ref="I2:K2" si="0">_xlfn.XLOOKUP($G$2,$F$2:$F$11,C2:C11)</f>
        <v>Tigerbalm</v>
      </c>
      <c r="J2" t="str">
        <f t="shared" si="0"/>
        <v>North City</v>
      </c>
      <c r="K2">
        <f t="shared" si="0"/>
        <v>65</v>
      </c>
    </row>
    <row r="3" spans="1:11">
      <c r="A3" s="8"/>
      <c r="B3" s="8" t="s">
        <v>57</v>
      </c>
      <c r="C3" s="8" t="s">
        <v>58</v>
      </c>
      <c r="D3" s="8" t="s">
        <v>59</v>
      </c>
      <c r="E3" s="8">
        <v>65</v>
      </c>
      <c r="F3" s="8">
        <v>1002</v>
      </c>
    </row>
    <row r="4" spans="1:11">
      <c r="A4" s="8"/>
      <c r="B4" s="8" t="s">
        <v>60</v>
      </c>
      <c r="C4" s="8" t="s">
        <v>61</v>
      </c>
      <c r="D4" s="8" t="s">
        <v>62</v>
      </c>
      <c r="E4" s="8">
        <v>32</v>
      </c>
      <c r="F4" s="8">
        <v>1003</v>
      </c>
    </row>
    <row r="5" spans="1:11">
      <c r="A5" s="8"/>
      <c r="B5" s="8" t="s">
        <v>63</v>
      </c>
      <c r="C5" s="8" t="s">
        <v>64</v>
      </c>
      <c r="D5" s="8" t="s">
        <v>56</v>
      </c>
      <c r="E5" s="8">
        <v>65</v>
      </c>
      <c r="F5" s="8">
        <v>1004</v>
      </c>
    </row>
    <row r="6" spans="1:11">
      <c r="A6" s="8"/>
      <c r="B6" s="8" t="s">
        <v>65</v>
      </c>
      <c r="C6" s="8" t="s">
        <v>55</v>
      </c>
      <c r="D6" s="8" t="s">
        <v>59</v>
      </c>
      <c r="E6" s="8">
        <v>98</v>
      </c>
      <c r="F6" s="8">
        <v>1005</v>
      </c>
    </row>
    <row r="7" spans="1:11">
      <c r="A7" s="8"/>
      <c r="B7" s="8" t="s">
        <v>66</v>
      </c>
      <c r="C7" s="8" t="s">
        <v>58</v>
      </c>
      <c r="D7" s="8" t="s">
        <v>62</v>
      </c>
      <c r="E7" s="8">
        <v>65</v>
      </c>
      <c r="F7" s="8">
        <v>1006</v>
      </c>
    </row>
    <row r="8" spans="1:11">
      <c r="A8" s="8"/>
      <c r="B8" s="8" t="s">
        <v>67</v>
      </c>
      <c r="C8" s="8" t="s">
        <v>64</v>
      </c>
      <c r="D8" s="8" t="s">
        <v>56</v>
      </c>
      <c r="E8" s="8">
        <v>32</v>
      </c>
      <c r="F8" s="8">
        <v>1007</v>
      </c>
    </row>
    <row r="9" spans="1:11">
      <c r="A9" s="8"/>
      <c r="B9" s="8" t="s">
        <v>68</v>
      </c>
      <c r="C9" s="8" t="s">
        <v>69</v>
      </c>
      <c r="D9" s="8" t="s">
        <v>59</v>
      </c>
      <c r="E9" s="8">
        <v>65</v>
      </c>
      <c r="F9" s="8">
        <v>1008</v>
      </c>
    </row>
    <row r="10" spans="1:11">
      <c r="A10" s="8"/>
      <c r="B10" s="8" t="s">
        <v>70</v>
      </c>
      <c r="C10" s="8" t="s">
        <v>69</v>
      </c>
      <c r="D10" s="8" t="s">
        <v>62</v>
      </c>
      <c r="E10" s="8">
        <v>54</v>
      </c>
      <c r="F10" s="8">
        <v>1009</v>
      </c>
    </row>
    <row r="11" spans="1:11">
      <c r="A11" s="8"/>
      <c r="B11" s="8" t="s">
        <v>71</v>
      </c>
      <c r="C11" s="8" t="s">
        <v>58</v>
      </c>
      <c r="D11" s="8" t="s">
        <v>56</v>
      </c>
      <c r="E11" s="8">
        <v>65</v>
      </c>
      <c r="F11" s="8">
        <v>1010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1"/>
  <sheetViews>
    <sheetView zoomScale="145" zoomScaleNormal="145" workbookViewId="0">
      <selection activeCell="C4" sqref="C4"/>
    </sheetView>
  </sheetViews>
  <sheetFormatPr defaultRowHeight="15"/>
  <cols>
    <col min="1" max="1" width="11.28515625" customWidth="1"/>
    <col min="2" max="2" width="8.85546875" customWidth="1"/>
    <col min="3" max="3" width="9.5703125" customWidth="1"/>
  </cols>
  <sheetData>
    <row r="1" spans="1:12">
      <c r="A1" s="15" t="s">
        <v>77</v>
      </c>
      <c r="B1" s="14" t="s">
        <v>16</v>
      </c>
      <c r="C1" s="14" t="s">
        <v>53</v>
      </c>
      <c r="E1" s="28" t="s">
        <v>86</v>
      </c>
      <c r="F1" s="28"/>
      <c r="H1" s="29" t="s">
        <v>85</v>
      </c>
      <c r="I1" s="29"/>
      <c r="K1" s="28" t="s">
        <v>84</v>
      </c>
      <c r="L1" s="28"/>
    </row>
    <row r="2" spans="1:12">
      <c r="A2" s="13" t="s">
        <v>83</v>
      </c>
      <c r="B2" s="12" t="s">
        <v>21</v>
      </c>
      <c r="C2" s="12">
        <v>45</v>
      </c>
      <c r="E2" s="8" t="s">
        <v>77</v>
      </c>
      <c r="F2" s="8" t="s">
        <v>76</v>
      </c>
      <c r="H2" s="8" t="s">
        <v>53</v>
      </c>
      <c r="I2" s="8" t="s">
        <v>76</v>
      </c>
      <c r="K2" s="8" t="s">
        <v>53</v>
      </c>
      <c r="L2" s="8" t="s">
        <v>76</v>
      </c>
    </row>
    <row r="3" spans="1:12">
      <c r="A3" s="13" t="s">
        <v>27</v>
      </c>
      <c r="B3" s="12" t="s">
        <v>18</v>
      </c>
      <c r="C3" s="12">
        <v>65</v>
      </c>
      <c r="E3" s="8" t="s">
        <v>27</v>
      </c>
      <c r="F3" s="8">
        <f>_xlfn.XMATCH(E3,A1:A11,0)</f>
        <v>3</v>
      </c>
      <c r="H3" s="8">
        <v>99</v>
      </c>
      <c r="I3" s="8">
        <f>_xlfn.XMATCH(H3,C1:C11,-1)</f>
        <v>4</v>
      </c>
      <c r="K3" s="8">
        <v>10</v>
      </c>
      <c r="L3" s="8">
        <f>_xlfn.XMATCH(K3,C1:C11,1)</f>
        <v>11</v>
      </c>
    </row>
    <row r="4" spans="1:12">
      <c r="A4" s="13" t="s">
        <v>82</v>
      </c>
      <c r="B4" s="12" t="s">
        <v>25</v>
      </c>
      <c r="C4" s="12">
        <v>98</v>
      </c>
    </row>
    <row r="5" spans="1:12">
      <c r="A5" s="13" t="s">
        <v>110</v>
      </c>
      <c r="B5" s="12" t="s">
        <v>21</v>
      </c>
      <c r="C5" s="12">
        <v>65</v>
      </c>
    </row>
    <row r="6" spans="1:12">
      <c r="A6" s="13" t="s">
        <v>81</v>
      </c>
      <c r="B6" s="12" t="s">
        <v>18</v>
      </c>
      <c r="C6" s="12">
        <v>25</v>
      </c>
      <c r="E6" s="28" t="s">
        <v>80</v>
      </c>
      <c r="F6" s="28"/>
      <c r="H6" s="28" t="s">
        <v>79</v>
      </c>
      <c r="I6" s="28"/>
    </row>
    <row r="7" spans="1:12">
      <c r="A7" s="13" t="s">
        <v>78</v>
      </c>
      <c r="B7" s="12" t="s">
        <v>25</v>
      </c>
      <c r="C7" s="12">
        <v>35</v>
      </c>
      <c r="E7" s="8" t="s">
        <v>77</v>
      </c>
      <c r="F7" s="8" t="s">
        <v>76</v>
      </c>
      <c r="H7" s="8" t="s">
        <v>53</v>
      </c>
      <c r="I7" s="8" t="s">
        <v>76</v>
      </c>
    </row>
    <row r="8" spans="1:12">
      <c r="A8" s="13" t="s">
        <v>75</v>
      </c>
      <c r="B8" s="12" t="s">
        <v>21</v>
      </c>
      <c r="C8" s="12">
        <v>45</v>
      </c>
      <c r="E8" s="8" t="s">
        <v>74</v>
      </c>
      <c r="F8" s="8">
        <f>_xlfn.XMATCH("*"&amp;E8&amp;"*",A1:A11,2)</f>
        <v>5</v>
      </c>
      <c r="H8" s="8">
        <v>98</v>
      </c>
      <c r="I8" s="8">
        <f>_xlfn.XMATCH(H8,C1:C11,0,-1)</f>
        <v>9</v>
      </c>
    </row>
    <row r="9" spans="1:12">
      <c r="A9" s="13" t="s">
        <v>28</v>
      </c>
      <c r="B9" s="12" t="s">
        <v>18</v>
      </c>
      <c r="C9" s="12">
        <v>98</v>
      </c>
    </row>
    <row r="10" spans="1:12">
      <c r="A10" s="13" t="s">
        <v>73</v>
      </c>
      <c r="B10" s="12" t="s">
        <v>25</v>
      </c>
      <c r="C10" s="12">
        <v>63</v>
      </c>
    </row>
    <row r="11" spans="1:12">
      <c r="A11" s="13" t="s">
        <v>72</v>
      </c>
      <c r="B11" s="12" t="s">
        <v>21</v>
      </c>
      <c r="C11" s="12">
        <v>21</v>
      </c>
    </row>
  </sheetData>
  <mergeCells count="5">
    <mergeCell ref="E1:F1"/>
    <mergeCell ref="H1:I1"/>
    <mergeCell ref="K1:L1"/>
    <mergeCell ref="E6:F6"/>
    <mergeCell ref="H6:I6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"/>
  <sheetViews>
    <sheetView zoomScale="175" zoomScaleNormal="175" workbookViewId="0">
      <selection activeCell="C3" sqref="C3"/>
    </sheetView>
  </sheetViews>
  <sheetFormatPr defaultRowHeight="15"/>
  <sheetData>
    <row r="1" spans="1:12">
      <c r="A1">
        <v>51</v>
      </c>
    </row>
    <row r="2" spans="1:12">
      <c r="A2" cm="1">
        <f t="array" ref="A2:A11">_xlfn.SEQUENCE(10,1,A1,A1)</f>
        <v>51</v>
      </c>
      <c r="C2" t="e" cm="1">
        <f t="array" aca="1" ref="C2:L4" ca="1">_xlfn.RANDARRAY(3,10,1,100,1)</f>
        <v>#NAME?</v>
      </c>
      <c r="D2" t="e">
        <f ca="1"/>
        <v>#NAME?</v>
      </c>
      <c r="E2" t="e">
        <f ca="1"/>
        <v>#NAME?</v>
      </c>
      <c r="F2" t="e">
        <f ca="1"/>
        <v>#NAME?</v>
      </c>
      <c r="G2" t="e">
        <f ca="1"/>
        <v>#NAME?</v>
      </c>
      <c r="H2" t="e">
        <f ca="1"/>
        <v>#NAME?</v>
      </c>
      <c r="I2" t="e">
        <f ca="1"/>
        <v>#NAME?</v>
      </c>
      <c r="J2" t="e">
        <f ca="1"/>
        <v>#NAME?</v>
      </c>
      <c r="K2" t="e">
        <f ca="1"/>
        <v>#NAME?</v>
      </c>
      <c r="L2" t="e">
        <f ca="1"/>
        <v>#NAME?</v>
      </c>
    </row>
    <row r="3" spans="1:12">
      <c r="A3">
        <v>102</v>
      </c>
      <c r="C3" t="e">
        <f ca="1"/>
        <v>#NAME?</v>
      </c>
      <c r="D3" t="e">
        <f ca="1"/>
        <v>#NAME?</v>
      </c>
      <c r="E3" t="e">
        <f ca="1"/>
        <v>#NAME?</v>
      </c>
      <c r="F3" t="e">
        <f ca="1"/>
        <v>#NAME?</v>
      </c>
      <c r="G3" t="e">
        <f ca="1"/>
        <v>#NAME?</v>
      </c>
      <c r="H3" t="e">
        <f ca="1"/>
        <v>#NAME?</v>
      </c>
      <c r="I3" t="e">
        <f ca="1"/>
        <v>#NAME?</v>
      </c>
      <c r="J3" t="e">
        <f ca="1"/>
        <v>#NAME?</v>
      </c>
      <c r="K3" t="e">
        <f ca="1"/>
        <v>#NAME?</v>
      </c>
      <c r="L3" t="e">
        <f ca="1"/>
        <v>#NAME?</v>
      </c>
    </row>
    <row r="4" spans="1:12">
      <c r="A4">
        <v>153</v>
      </c>
      <c r="C4" t="e">
        <f ca="1"/>
        <v>#NAME?</v>
      </c>
      <c r="D4" t="e">
        <f ca="1"/>
        <v>#NAME?</v>
      </c>
      <c r="E4" t="e">
        <f ca="1"/>
        <v>#NAME?</v>
      </c>
      <c r="F4" t="e">
        <f ca="1"/>
        <v>#NAME?</v>
      </c>
      <c r="G4" t="e">
        <f ca="1"/>
        <v>#NAME?</v>
      </c>
      <c r="H4" t="e">
        <f ca="1"/>
        <v>#NAME?</v>
      </c>
      <c r="I4" t="e">
        <f ca="1"/>
        <v>#NAME?</v>
      </c>
      <c r="J4" t="e">
        <f ca="1"/>
        <v>#NAME?</v>
      </c>
      <c r="K4" t="e">
        <f ca="1"/>
        <v>#NAME?</v>
      </c>
      <c r="L4" t="e">
        <f ca="1"/>
        <v>#NAME?</v>
      </c>
    </row>
    <row r="5" spans="1:12">
      <c r="A5">
        <v>204</v>
      </c>
    </row>
    <row r="6" spans="1:12">
      <c r="A6">
        <v>255</v>
      </c>
    </row>
    <row r="7" spans="1:12">
      <c r="A7">
        <v>306</v>
      </c>
    </row>
    <row r="8" spans="1:12">
      <c r="A8">
        <v>357</v>
      </c>
    </row>
    <row r="9" spans="1:12">
      <c r="A9">
        <v>408</v>
      </c>
    </row>
    <row r="10" spans="1:12">
      <c r="A10">
        <v>459</v>
      </c>
    </row>
    <row r="11" spans="1:12">
      <c r="A11">
        <v>510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11"/>
  <sheetViews>
    <sheetView zoomScale="175" zoomScaleNormal="175" workbookViewId="0">
      <selection activeCell="B10" sqref="B10"/>
    </sheetView>
  </sheetViews>
  <sheetFormatPr defaultRowHeight="15"/>
  <cols>
    <col min="1" max="1" width="11.28515625" bestFit="1" customWidth="1"/>
    <col min="2" max="2" width="11.140625" bestFit="1" customWidth="1"/>
    <col min="3" max="3" width="10" bestFit="1" customWidth="1"/>
    <col min="5" max="5" width="11.28515625" bestFit="1" customWidth="1"/>
    <col min="6" max="6" width="12.42578125" customWidth="1"/>
  </cols>
  <sheetData>
    <row r="1" spans="1:6">
      <c r="A1" s="16" t="s">
        <v>16</v>
      </c>
      <c r="B1" s="16" t="s">
        <v>53</v>
      </c>
      <c r="E1" s="16" t="s">
        <v>0</v>
      </c>
      <c r="F1" s="16" t="s">
        <v>52</v>
      </c>
    </row>
    <row r="2" spans="1:6">
      <c r="A2" s="8" t="s">
        <v>56</v>
      </c>
      <c r="B2" s="8">
        <v>99</v>
      </c>
      <c r="E2" s="8" t="s">
        <v>54</v>
      </c>
      <c r="F2" s="8" t="s">
        <v>69</v>
      </c>
    </row>
    <row r="3" spans="1:6">
      <c r="A3" s="8" t="s">
        <v>59</v>
      </c>
      <c r="B3" s="8">
        <v>65</v>
      </c>
      <c r="E3" s="8" t="s">
        <v>57</v>
      </c>
      <c r="F3" s="8" t="s">
        <v>58</v>
      </c>
    </row>
    <row r="4" spans="1:6">
      <c r="A4" s="8" t="s">
        <v>62</v>
      </c>
      <c r="B4" s="8">
        <v>32</v>
      </c>
      <c r="E4" s="8" t="s">
        <v>60</v>
      </c>
      <c r="F4" s="8" t="s">
        <v>61</v>
      </c>
    </row>
    <row r="5" spans="1:6">
      <c r="A5" s="8" t="s">
        <v>56</v>
      </c>
      <c r="B5" s="8">
        <v>65</v>
      </c>
      <c r="E5" s="8" t="s">
        <v>63</v>
      </c>
      <c r="F5" s="8" t="s">
        <v>64</v>
      </c>
    </row>
    <row r="6" spans="1:6">
      <c r="A6" s="8" t="s">
        <v>59</v>
      </c>
      <c r="B6" s="8">
        <v>98</v>
      </c>
      <c r="E6" s="8" t="s">
        <v>65</v>
      </c>
      <c r="F6" s="8" t="s">
        <v>55</v>
      </c>
    </row>
    <row r="7" spans="1:6">
      <c r="A7" s="8" t="s">
        <v>62</v>
      </c>
      <c r="B7" s="8">
        <v>65</v>
      </c>
      <c r="E7" s="8" t="s">
        <v>66</v>
      </c>
      <c r="F7" s="8" t="s">
        <v>58</v>
      </c>
    </row>
    <row r="8" spans="1:6">
      <c r="A8" s="8" t="s">
        <v>56</v>
      </c>
      <c r="B8" s="8">
        <v>32</v>
      </c>
      <c r="E8" s="8" t="s">
        <v>67</v>
      </c>
      <c r="F8" s="8" t="s">
        <v>64</v>
      </c>
    </row>
    <row r="9" spans="1:6">
      <c r="A9" s="8" t="s">
        <v>59</v>
      </c>
      <c r="B9" s="8">
        <v>65</v>
      </c>
      <c r="E9" s="8" t="s">
        <v>68</v>
      </c>
      <c r="F9" s="8" t="s">
        <v>69</v>
      </c>
    </row>
    <row r="10" spans="1:6">
      <c r="A10" s="8" t="s">
        <v>62</v>
      </c>
      <c r="B10" s="8">
        <v>54</v>
      </c>
      <c r="E10" s="8" t="s">
        <v>70</v>
      </c>
      <c r="F10" s="8" t="s">
        <v>69</v>
      </c>
    </row>
    <row r="11" spans="1:6">
      <c r="A11" s="8" t="s">
        <v>56</v>
      </c>
      <c r="B11" s="8">
        <v>65</v>
      </c>
      <c r="E11" s="8" t="s">
        <v>71</v>
      </c>
      <c r="F11" s="8" t="s">
        <v>58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14"/>
  <sheetViews>
    <sheetView zoomScale="145" zoomScaleNormal="145" workbookViewId="0">
      <selection activeCell="B4" sqref="B4"/>
    </sheetView>
  </sheetViews>
  <sheetFormatPr defaultRowHeight="15"/>
  <cols>
    <col min="1" max="1" width="15" customWidth="1"/>
  </cols>
  <sheetData>
    <row r="1" spans="1:2">
      <c r="A1" t="s">
        <v>96</v>
      </c>
      <c r="B1" t="s">
        <v>53</v>
      </c>
    </row>
    <row r="2" spans="1:2">
      <c r="A2" t="s">
        <v>95</v>
      </c>
      <c r="B2">
        <v>320</v>
      </c>
    </row>
    <row r="3" spans="1:2">
      <c r="A3" t="s">
        <v>94</v>
      </c>
      <c r="B3">
        <v>80</v>
      </c>
    </row>
    <row r="4" spans="1:2">
      <c r="A4" t="s">
        <v>93</v>
      </c>
      <c r="B4">
        <v>50</v>
      </c>
    </row>
    <row r="5" spans="1:2">
      <c r="A5" t="s">
        <v>119</v>
      </c>
      <c r="B5">
        <v>250</v>
      </c>
    </row>
    <row r="6" spans="1:2">
      <c r="A6" t="s">
        <v>92</v>
      </c>
      <c r="B6">
        <v>50</v>
      </c>
    </row>
    <row r="9" spans="1:2">
      <c r="A9" t="s">
        <v>91</v>
      </c>
      <c r="B9" t="s">
        <v>53</v>
      </c>
    </row>
    <row r="10" spans="1:2">
      <c r="A10" t="s">
        <v>90</v>
      </c>
      <c r="B10">
        <v>500</v>
      </c>
    </row>
    <row r="11" spans="1:2">
      <c r="A11" t="s">
        <v>89</v>
      </c>
      <c r="B11">
        <v>35</v>
      </c>
    </row>
    <row r="12" spans="1:2">
      <c r="A12" t="s">
        <v>88</v>
      </c>
      <c r="B12">
        <v>20</v>
      </c>
    </row>
    <row r="13" spans="1:2">
      <c r="A13" t="s">
        <v>120</v>
      </c>
      <c r="B13">
        <v>80</v>
      </c>
    </row>
    <row r="14" spans="1:2">
      <c r="A14" t="s">
        <v>87</v>
      </c>
      <c r="B14">
        <v>50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2:D7"/>
  <sheetViews>
    <sheetView showGridLines="0" tabSelected="1" zoomScale="175" zoomScaleNormal="175" workbookViewId="0">
      <selection activeCell="F8" sqref="F8"/>
    </sheetView>
  </sheetViews>
  <sheetFormatPr defaultRowHeight="15"/>
  <cols>
    <col min="2" max="2" width="3.85546875" customWidth="1"/>
    <col min="3" max="3" width="13.140625" bestFit="1" customWidth="1"/>
    <col min="4" max="4" width="16" bestFit="1" customWidth="1"/>
  </cols>
  <sheetData>
    <row r="2" spans="2:4">
      <c r="B2" s="24" t="s">
        <v>111</v>
      </c>
    </row>
    <row r="4" spans="2:4">
      <c r="C4" s="26" t="s">
        <v>113</v>
      </c>
      <c r="D4" t="s">
        <v>112</v>
      </c>
    </row>
    <row r="5" spans="2:4">
      <c r="C5" s="23" t="s">
        <v>69</v>
      </c>
      <c r="D5" s="25">
        <v>3</v>
      </c>
    </row>
    <row r="6" spans="2:4">
      <c r="C6" s="23" t="s">
        <v>58</v>
      </c>
      <c r="D6" s="25">
        <v>3</v>
      </c>
    </row>
    <row r="7" spans="2:4">
      <c r="C7" s="23" t="s">
        <v>114</v>
      </c>
      <c r="D7" s="25">
        <v>6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2:D8"/>
  <sheetViews>
    <sheetView showGridLines="0" workbookViewId="0"/>
  </sheetViews>
  <sheetFormatPr defaultRowHeight="15"/>
  <cols>
    <col min="2" max="2" width="3.85546875" customWidth="1"/>
    <col min="3" max="3" width="13.140625" bestFit="1" customWidth="1"/>
    <col min="4" max="4" width="12.140625" bestFit="1" customWidth="1"/>
  </cols>
  <sheetData>
    <row r="2" spans="2:4">
      <c r="B2" s="24" t="s">
        <v>115</v>
      </c>
    </row>
    <row r="4" spans="2:4">
      <c r="C4" s="26" t="s">
        <v>113</v>
      </c>
      <c r="D4" t="s">
        <v>116</v>
      </c>
    </row>
    <row r="5" spans="2:4">
      <c r="C5" s="23" t="s">
        <v>56</v>
      </c>
      <c r="D5" s="25">
        <v>261</v>
      </c>
    </row>
    <row r="6" spans="2:4">
      <c r="C6" s="23" t="s">
        <v>59</v>
      </c>
      <c r="D6" s="25">
        <v>228</v>
      </c>
    </row>
    <row r="7" spans="2:4">
      <c r="C7" s="23" t="s">
        <v>62</v>
      </c>
      <c r="D7" s="25">
        <v>151</v>
      </c>
    </row>
    <row r="8" spans="2:4">
      <c r="C8" s="23" t="s">
        <v>114</v>
      </c>
      <c r="D8" s="25">
        <v>640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B2:D8"/>
  <sheetViews>
    <sheetView showGridLines="0" workbookViewId="0">
      <selection activeCell="C4" sqref="C4:D8"/>
    </sheetView>
  </sheetViews>
  <sheetFormatPr defaultRowHeight="15"/>
  <cols>
    <col min="2" max="2" width="3.85546875" customWidth="1"/>
    <col min="3" max="3" width="13.140625" bestFit="1" customWidth="1"/>
    <col min="4" max="4" width="12.140625" bestFit="1" customWidth="1"/>
  </cols>
  <sheetData>
    <row r="2" spans="2:4">
      <c r="B2" s="24" t="s">
        <v>118</v>
      </c>
    </row>
    <row r="4" spans="2:4">
      <c r="C4" s="26" t="s">
        <v>113</v>
      </c>
      <c r="D4" t="s">
        <v>116</v>
      </c>
    </row>
    <row r="5" spans="2:4">
      <c r="C5" s="23" t="s">
        <v>56</v>
      </c>
      <c r="D5" s="25">
        <v>261</v>
      </c>
    </row>
    <row r="6" spans="2:4">
      <c r="C6" s="23" t="s">
        <v>59</v>
      </c>
      <c r="D6" s="25">
        <v>228</v>
      </c>
    </row>
    <row r="7" spans="2:4">
      <c r="C7" s="23" t="s">
        <v>62</v>
      </c>
      <c r="D7" s="25">
        <v>151</v>
      </c>
    </row>
    <row r="8" spans="2:4">
      <c r="C8" s="23" t="s">
        <v>114</v>
      </c>
      <c r="D8" s="25">
        <v>640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SWITCH</vt:lpstr>
      <vt:lpstr>TEXT JOIN FORMULA</vt:lpstr>
      <vt:lpstr>IFS FORMULA</vt:lpstr>
      <vt:lpstr>MAXIFS AND MINIFS</vt:lpstr>
      <vt:lpstr>FILTER FORMULA</vt:lpstr>
      <vt:lpstr>SORT FORMULA</vt:lpstr>
      <vt:lpstr>UNIQUE</vt:lpstr>
      <vt:lpstr>XLOOKUP IN EXCEL</vt:lpstr>
      <vt:lpstr> XMATCH</vt:lpstr>
      <vt:lpstr>SEQUENCE</vt:lpstr>
      <vt:lpstr>ANALYZE DATA</vt:lpstr>
      <vt:lpstr>MAP CHART</vt:lpstr>
      <vt:lpstr>Suggestion1</vt:lpstr>
      <vt:lpstr>Suggestion2</vt:lpstr>
      <vt:lpstr>Suggestion3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 More</dc:creator>
  <cp:lastModifiedBy>Dell</cp:lastModifiedBy>
  <dcterms:created xsi:type="dcterms:W3CDTF">2020-12-11T04:45:30Z</dcterms:created>
  <dcterms:modified xsi:type="dcterms:W3CDTF">2026-08-23T23:59:15Z</dcterms:modified>
</cp:coreProperties>
</file>