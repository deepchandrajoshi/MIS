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VANCE EXCEL\Practice\"/>
    </mc:Choice>
  </mc:AlternateContent>
  <xr:revisionPtr revIDLastSave="0" documentId="13_ncr:1_{4FE0A8D5-4517-4934-B8E6-EC892552881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Ques" sheetId="3" r:id="rId1"/>
    <sheet name="Q1" sheetId="9" r:id="rId2"/>
    <sheet name="Q2" sheetId="10" r:id="rId3"/>
    <sheet name="Q3" sheetId="11" r:id="rId4"/>
    <sheet name="Q4" sheetId="7" r:id="rId5"/>
    <sheet name="Sheet2" sheetId="12" r:id="rId6"/>
    <sheet name="Raw Data" sheetId="1" r:id="rId7"/>
    <sheet name="Sheet1" sheetId="8" state="hidden" r:id="rId8"/>
  </sheets>
  <definedNames>
    <definedName name="_xlnm._FilterDatabase" localSheetId="6" hidden="1">'Raw Data'!$A$1:$H$41</definedName>
  </definedNames>
  <calcPr calcId="191029" calcMode="autoNoTable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/>
  <c r="C6" i="7"/>
  <c r="C7" i="7"/>
  <c r="C4" i="7"/>
  <c r="F5" i="10"/>
  <c r="F6" i="10"/>
  <c r="F7" i="10"/>
  <c r="F4" i="10"/>
  <c r="E5" i="10" a="1"/>
  <c r="E5" i="10" s="1"/>
  <c r="E6" i="10" a="1"/>
  <c r="E6" i="10" s="1"/>
  <c r="E7" i="10" a="1"/>
  <c r="E7" i="10" s="1"/>
  <c r="E4" i="10" a="1"/>
  <c r="E4" i="10" s="1"/>
  <c r="E6" i="11" a="1"/>
  <c r="E6" i="11"/>
  <c r="E7" i="11" a="1"/>
  <c r="E7" i="11" s="1"/>
  <c r="E8" i="11" a="1"/>
  <c r="E8" i="11"/>
  <c r="E9" i="11" a="1"/>
  <c r="E9" i="11"/>
  <c r="E10" i="11" a="1"/>
  <c r="E10" i="11" s="1"/>
  <c r="E5" i="11" a="1"/>
  <c r="E5" i="11" s="1"/>
  <c r="D6" i="11" a="1"/>
  <c r="D6" i="11" s="1"/>
  <c r="D7" i="11" a="1"/>
  <c r="D7" i="11"/>
  <c r="D8" i="11" a="1"/>
  <c r="D8" i="11" s="1"/>
  <c r="D9" i="11" a="1"/>
  <c r="D9" i="11" s="1"/>
  <c r="D10" i="11" a="1"/>
  <c r="D10" i="11" s="1"/>
  <c r="D5" i="11" a="1"/>
  <c r="D5" i="11" s="1"/>
  <c r="D5" i="10" l="1"/>
  <c r="D6" i="10"/>
  <c r="D7" i="10"/>
  <c r="D4" i="10"/>
  <c r="C4" i="10" a="1"/>
  <c r="C4" i="10" s="1"/>
  <c r="C5" i="10" a="1"/>
  <c r="C5" i="10" s="1"/>
  <c r="C6" i="10" a="1"/>
  <c r="C6" i="10" s="1"/>
  <c r="C7" i="10" a="1"/>
  <c r="C7" i="10" s="1"/>
  <c r="B5" i="7"/>
  <c r="B6" i="7"/>
  <c r="B7" i="7"/>
  <c r="B4" i="7"/>
  <c r="C6" i="11"/>
  <c r="C7" i="11"/>
  <c r="C8" i="11"/>
  <c r="C9" i="11"/>
  <c r="C10" i="11"/>
  <c r="C5" i="1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7" i="3" l="1"/>
  <c r="C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<sst xmlns="http://schemas.openxmlformats.org/spreadsheetml/2006/main" count="210" uniqueCount="53">
  <si>
    <t>Name</t>
  </si>
  <si>
    <t>Date</t>
  </si>
  <si>
    <t>Process</t>
  </si>
  <si>
    <t>Time Taken</t>
  </si>
  <si>
    <t>Activity Name</t>
  </si>
  <si>
    <t>Dinesh Kumar</t>
  </si>
  <si>
    <t>Collection</t>
  </si>
  <si>
    <t>Mohit</t>
  </si>
  <si>
    <t>Booking</t>
  </si>
  <si>
    <t>Narendra</t>
  </si>
  <si>
    <t>Cancellation</t>
  </si>
  <si>
    <t>Cash Allocation</t>
  </si>
  <si>
    <t>Rajesh Kumar</t>
  </si>
  <si>
    <t>Endorsment</t>
  </si>
  <si>
    <t>Renewal</t>
  </si>
  <si>
    <t>Doc Issue</t>
  </si>
  <si>
    <t>Prepare a Pivot  as per data</t>
  </si>
  <si>
    <t>CC Team</t>
  </si>
  <si>
    <t>Booking Team</t>
  </si>
  <si>
    <t>Prepare a pivot (as per screenshot below)</t>
  </si>
  <si>
    <t>Total Time</t>
  </si>
  <si>
    <t>By using formulla, calculate the total time taken by given users on the given date.</t>
  </si>
  <si>
    <t>Question 3</t>
  </si>
  <si>
    <t>Question 4</t>
  </si>
  <si>
    <t>By using vlookup, return the activity name against each user name</t>
  </si>
  <si>
    <t>Question</t>
  </si>
  <si>
    <t>Max Marks</t>
  </si>
  <si>
    <t>Score</t>
  </si>
  <si>
    <t>Q1</t>
  </si>
  <si>
    <t>Q2</t>
  </si>
  <si>
    <t>Q3</t>
  </si>
  <si>
    <t>Q4</t>
  </si>
  <si>
    <t>By using formula, calculate the total time taken by given users on the given date.</t>
  </si>
  <si>
    <t>Question 1</t>
  </si>
  <si>
    <t>Question 2</t>
  </si>
  <si>
    <t>Max Time Taken</t>
  </si>
  <si>
    <t xml:space="preserve">Total </t>
  </si>
  <si>
    <t xml:space="preserve">Note : </t>
  </si>
  <si>
    <t>Data is available in Raw Data sheet</t>
  </si>
  <si>
    <t>a) By using formula, find the maximum time taken for each activity on given date.
b) using conditional formatting, highlight the column C with red color if max time exceed 150.</t>
  </si>
  <si>
    <t>S No.</t>
  </si>
  <si>
    <t>Trn_Count</t>
  </si>
  <si>
    <t>Statndared Time</t>
  </si>
  <si>
    <t>Grand Total</t>
  </si>
  <si>
    <t>Sum of Trn_Count</t>
  </si>
  <si>
    <t>Sum of Statndared Time</t>
  </si>
  <si>
    <t>Sum of Time Taken</t>
  </si>
  <si>
    <t>Booking Team Total</t>
  </si>
  <si>
    <t>CC Team Total</t>
  </si>
  <si>
    <t>Dinesh Kumar Total</t>
  </si>
  <si>
    <t>Mohit Total</t>
  </si>
  <si>
    <t>Narendra Total</t>
  </si>
  <si>
    <t>Rajesh Kumar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</si>
</sst>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4" fontId="0" fillId="2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5</xdr:col>
      <xdr:colOff>489744</xdr:colOff>
      <xdr:row>20</xdr:row>
      <xdr:rowOff>81644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9F844-BC6F-407E-B909-25FFEB2BC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5715"/>
          <a:ext cx="5560673" cy="298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jeet yadav" refreshedDate="44967.797452777777" createdVersion="8" refreshedVersion="8" minRefreshableVersion="3" recordCount="40" xr:uid="{14338E6B-5E63-4B60-8464-3C00AF508980}">
  <cacheSource type="worksheet">
    <worksheetSource ref="A1:G41" sheet="Raw Data"/>
  </cacheSource>
  <cacheFields count="7">
    <cacheField name="Name" numFmtId="0">
      <sharedItems count="4">
        <s v="Dinesh Kumar"/>
        <s v="Mohit"/>
        <s v="Narendra"/>
        <s v="Rajesh Kumar"/>
      </sharedItems>
    </cacheField>
    <cacheField name="Date" numFmtId="0">
      <sharedItems containsSemiMixedTypes="0" containsNonDate="0" containsDate="1" containsString="0" minDate="2018-01-01T00:00:00" maxDate="2018-01-04T00:00:00" count="3">
        <d v="2018-01-01T00:00:00"/>
        <d v="2018-01-02T00:00:00"/>
        <d v="2018-01-03T00:00:00"/>
      </sharedItems>
    </cacheField>
    <cacheField name="Process" numFmtId="0">
      <sharedItems count="2">
        <s v="CC Team"/>
        <s v="Booking Team"/>
      </sharedItems>
    </cacheField>
    <cacheField name="Activity Name" numFmtId="0">
      <sharedItems/>
    </cacheField>
    <cacheField name="Time Taken" numFmtId="0">
      <sharedItems containsSemiMixedTypes="0" containsString="0" containsNumber="1" containsInteger="1" minValue="29" maxValue="199"/>
    </cacheField>
    <cacheField name="Trn_Count" numFmtId="0">
      <sharedItems containsSemiMixedTypes="0" containsString="0" containsNumber="1" containsInteger="1" minValue="2" maxValue="23"/>
    </cacheField>
    <cacheField name="Statndared Time" numFmtId="0">
      <sharedItems containsSemiMixedTypes="0" containsString="0" containsNumber="1" containsInteger="1" minValue="66" maxValue="32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s v="Collection"/>
    <n v="172"/>
    <n v="14"/>
    <n v="2408"/>
  </r>
  <r>
    <x v="0"/>
    <x v="0"/>
    <x v="0"/>
    <s v="Collection"/>
    <n v="38"/>
    <n v="4"/>
    <n v="152"/>
  </r>
  <r>
    <x v="0"/>
    <x v="0"/>
    <x v="0"/>
    <s v="Collection"/>
    <n v="92"/>
    <n v="8"/>
    <n v="736"/>
  </r>
  <r>
    <x v="0"/>
    <x v="0"/>
    <x v="0"/>
    <s v="Collection"/>
    <n v="127"/>
    <n v="10"/>
    <n v="1270"/>
  </r>
  <r>
    <x v="0"/>
    <x v="0"/>
    <x v="0"/>
    <s v="Collection"/>
    <n v="33"/>
    <n v="2"/>
    <n v="66"/>
  </r>
  <r>
    <x v="1"/>
    <x v="0"/>
    <x v="1"/>
    <s v="Booking"/>
    <n v="133"/>
    <n v="11"/>
    <n v="1463"/>
  </r>
  <r>
    <x v="1"/>
    <x v="0"/>
    <x v="1"/>
    <s v="Booking"/>
    <n v="194"/>
    <n v="10"/>
    <n v="1940"/>
  </r>
  <r>
    <x v="1"/>
    <x v="0"/>
    <x v="1"/>
    <s v="Booking"/>
    <n v="160"/>
    <n v="11"/>
    <n v="1760"/>
  </r>
  <r>
    <x v="2"/>
    <x v="0"/>
    <x v="0"/>
    <s v="Cancellation"/>
    <n v="118"/>
    <n v="9"/>
    <n v="1062"/>
  </r>
  <r>
    <x v="2"/>
    <x v="0"/>
    <x v="0"/>
    <s v="Cash Allocation"/>
    <n v="120"/>
    <n v="15"/>
    <n v="1800"/>
  </r>
  <r>
    <x v="3"/>
    <x v="0"/>
    <x v="1"/>
    <s v="Booking"/>
    <n v="57"/>
    <n v="4"/>
    <n v="228"/>
  </r>
  <r>
    <x v="3"/>
    <x v="0"/>
    <x v="1"/>
    <s v="Endorsment"/>
    <n v="48"/>
    <n v="6"/>
    <n v="288"/>
  </r>
  <r>
    <x v="3"/>
    <x v="0"/>
    <x v="1"/>
    <s v="Booking"/>
    <n v="36"/>
    <n v="5"/>
    <n v="180"/>
  </r>
  <r>
    <x v="3"/>
    <x v="0"/>
    <x v="1"/>
    <s v="Booking"/>
    <n v="143"/>
    <n v="23"/>
    <n v="3289"/>
  </r>
  <r>
    <x v="3"/>
    <x v="0"/>
    <x v="1"/>
    <s v="Booking"/>
    <n v="83"/>
    <n v="2"/>
    <n v="166"/>
  </r>
  <r>
    <x v="0"/>
    <x v="1"/>
    <x v="0"/>
    <s v="Cash Allocation"/>
    <n v="111"/>
    <n v="8"/>
    <n v="888"/>
  </r>
  <r>
    <x v="0"/>
    <x v="1"/>
    <x v="0"/>
    <s v="Cash Allocation"/>
    <n v="101"/>
    <n v="12"/>
    <n v="1212"/>
  </r>
  <r>
    <x v="0"/>
    <x v="1"/>
    <x v="0"/>
    <s v="Cash Allocation"/>
    <n v="165"/>
    <n v="11"/>
    <n v="1815"/>
  </r>
  <r>
    <x v="2"/>
    <x v="1"/>
    <x v="0"/>
    <s v="Cash Allocation"/>
    <n v="149"/>
    <n v="8"/>
    <n v="1192"/>
  </r>
  <r>
    <x v="2"/>
    <x v="1"/>
    <x v="0"/>
    <s v="Cancellation"/>
    <n v="32"/>
    <n v="4"/>
    <n v="128"/>
  </r>
  <r>
    <x v="2"/>
    <x v="1"/>
    <x v="0"/>
    <s v="Cash Allocation"/>
    <n v="199"/>
    <n v="10"/>
    <n v="1990"/>
  </r>
  <r>
    <x v="1"/>
    <x v="1"/>
    <x v="1"/>
    <s v="Renewal"/>
    <n v="126"/>
    <n v="12"/>
    <n v="1512"/>
  </r>
  <r>
    <x v="1"/>
    <x v="1"/>
    <x v="1"/>
    <s v="Renewal"/>
    <n v="30"/>
    <n v="5"/>
    <n v="150"/>
  </r>
  <r>
    <x v="1"/>
    <x v="1"/>
    <x v="1"/>
    <s v="Booking"/>
    <n v="149"/>
    <n v="8"/>
    <n v="1192"/>
  </r>
  <r>
    <x v="1"/>
    <x v="1"/>
    <x v="1"/>
    <s v="Doc Issue"/>
    <n v="134"/>
    <n v="7"/>
    <n v="938"/>
  </r>
  <r>
    <x v="1"/>
    <x v="1"/>
    <x v="1"/>
    <s v="Renewal"/>
    <n v="73"/>
    <n v="12"/>
    <n v="876"/>
  </r>
  <r>
    <x v="1"/>
    <x v="1"/>
    <x v="1"/>
    <s v="Renewal"/>
    <n v="29"/>
    <n v="3"/>
    <n v="87"/>
  </r>
  <r>
    <x v="3"/>
    <x v="1"/>
    <x v="1"/>
    <s v="Renewal"/>
    <n v="183"/>
    <n v="18"/>
    <n v="3294"/>
  </r>
  <r>
    <x v="3"/>
    <x v="1"/>
    <x v="1"/>
    <s v="Renewal"/>
    <n v="95"/>
    <n v="9"/>
    <n v="855"/>
  </r>
  <r>
    <x v="3"/>
    <x v="1"/>
    <x v="1"/>
    <s v="Renewal"/>
    <n v="31"/>
    <n v="4"/>
    <n v="124"/>
  </r>
  <r>
    <x v="3"/>
    <x v="1"/>
    <x v="1"/>
    <s v="Endorsment"/>
    <n v="39"/>
    <n v="2"/>
    <n v="78"/>
  </r>
  <r>
    <x v="3"/>
    <x v="1"/>
    <x v="1"/>
    <s v="Booking"/>
    <n v="42"/>
    <n v="7"/>
    <n v="294"/>
  </r>
  <r>
    <x v="0"/>
    <x v="2"/>
    <x v="0"/>
    <s v="Cancellation"/>
    <n v="138"/>
    <n v="11"/>
    <n v="1518"/>
  </r>
  <r>
    <x v="1"/>
    <x v="2"/>
    <x v="1"/>
    <s v="Renewal"/>
    <n v="197"/>
    <n v="16"/>
    <n v="3152"/>
  </r>
  <r>
    <x v="1"/>
    <x v="2"/>
    <x v="1"/>
    <s v="Renewal"/>
    <n v="98"/>
    <n v="11"/>
    <n v="1078"/>
  </r>
  <r>
    <x v="3"/>
    <x v="2"/>
    <x v="1"/>
    <s v="Doc Issue"/>
    <n v="117"/>
    <n v="9"/>
    <n v="1053"/>
  </r>
  <r>
    <x v="3"/>
    <x v="2"/>
    <x v="1"/>
    <s v="Renewal"/>
    <n v="80"/>
    <n v="9"/>
    <n v="720"/>
  </r>
  <r>
    <x v="3"/>
    <x v="2"/>
    <x v="1"/>
    <s v="Renewal"/>
    <n v="121"/>
    <n v="10"/>
    <n v="1210"/>
  </r>
  <r>
    <x v="2"/>
    <x v="2"/>
    <x v="0"/>
    <s v="Cash Allocation"/>
    <n v="149"/>
    <n v="8"/>
    <n v="1192"/>
  </r>
  <r>
    <x v="2"/>
    <x v="2"/>
    <x v="0"/>
    <s v="Cancellation"/>
    <n v="32"/>
    <n v="6"/>
    <n v="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7F81A-EE3E-4D0B-BDAD-379F9F951F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5:M24" firstHeaderRow="0" firstDataRow="1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3">
    <field x="2"/>
    <field x="0"/>
    <field x="1"/>
  </rowFields>
  <rowItems count="19">
    <i>
      <x/>
      <x v="1"/>
      <x/>
    </i>
    <i r="2">
      <x v="1"/>
    </i>
    <i r="2">
      <x v="2"/>
    </i>
    <i t="default" r="1">
      <x v="1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r="2">
      <x v="1"/>
    </i>
    <i r="2">
      <x v="2"/>
    </i>
    <i t="default" r="1">
      <x/>
    </i>
    <i r="1">
      <x v="2"/>
      <x/>
    </i>
    <i r="2">
      <x v="1"/>
    </i>
    <i r="2">
      <x v="2"/>
    </i>
    <i t="default" r="1">
      <x v="2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n_Count" fld="5" baseField="0" baseItem="0"/>
    <dataField name="Sum of Statndared Time" fld="6" baseField="0" baseItem="0"/>
    <dataField name="Sum of Time Take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3834F-5608-4F51-833D-561E75EEEA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2" firstHeaderRow="0" firstDataRow="1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3">
    <field x="2"/>
    <field x="0"/>
    <field x="1"/>
  </rowFields>
  <rowItems count="19">
    <i>
      <x/>
      <x v="1"/>
      <x/>
    </i>
    <i r="2">
      <x v="1"/>
    </i>
    <i r="2">
      <x v="2"/>
    </i>
    <i t="default" r="1">
      <x v="1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r="2">
      <x v="1"/>
    </i>
    <i r="2">
      <x v="2"/>
    </i>
    <i t="default" r="1">
      <x/>
    </i>
    <i r="1">
      <x v="2"/>
      <x/>
    </i>
    <i r="2">
      <x v="1"/>
    </i>
    <i r="2">
      <x v="2"/>
    </i>
    <i t="default" r="1">
      <x v="2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n_Count" fld="5" baseField="0" baseItem="0"/>
    <dataField name="Sum of Statndared Time" fld="6" baseField="0" baseItem="0"/>
    <dataField name="Sum of Time Take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zoomScale="87" zoomScaleNormal="87" workbookViewId="0"/>
  </sheetViews>
  <sheetFormatPr defaultRowHeight="14.4" x14ac:dyDescent="0.3"/>
  <cols>
    <col min="2" max="2" width="75.5546875" customWidth="1"/>
    <col min="3" max="3" width="10.33203125" customWidth="1"/>
  </cols>
  <sheetData>
    <row r="2" spans="1:4" x14ac:dyDescent="0.3">
      <c r="A2" s="10" t="s">
        <v>40</v>
      </c>
      <c r="B2" s="9" t="s">
        <v>25</v>
      </c>
      <c r="C2" s="9" t="s">
        <v>26</v>
      </c>
      <c r="D2" s="9" t="s">
        <v>27</v>
      </c>
    </row>
    <row r="3" spans="1:4" x14ac:dyDescent="0.3">
      <c r="A3" s="7" t="s">
        <v>28</v>
      </c>
      <c r="B3" s="4" t="s">
        <v>16</v>
      </c>
      <c r="C3" s="7">
        <v>1</v>
      </c>
      <c r="D3" s="4"/>
    </row>
    <row r="4" spans="1:4" x14ac:dyDescent="0.3">
      <c r="A4" s="7" t="s">
        <v>29</v>
      </c>
      <c r="B4" s="4" t="s">
        <v>21</v>
      </c>
      <c r="C4" s="7">
        <v>1</v>
      </c>
      <c r="D4" s="4"/>
    </row>
    <row r="5" spans="1:4" ht="28.95" customHeight="1" x14ac:dyDescent="0.3">
      <c r="A5" s="7" t="s">
        <v>30</v>
      </c>
      <c r="B5" s="8" t="s">
        <v>39</v>
      </c>
      <c r="C5" s="7">
        <v>2</v>
      </c>
      <c r="D5" s="4"/>
    </row>
    <row r="6" spans="1:4" x14ac:dyDescent="0.3">
      <c r="A6" s="7" t="s">
        <v>31</v>
      </c>
      <c r="B6" s="4" t="s">
        <v>24</v>
      </c>
      <c r="C6" s="7">
        <v>1</v>
      </c>
      <c r="D6" s="4"/>
    </row>
    <row r="7" spans="1:4" x14ac:dyDescent="0.3">
      <c r="B7" s="11" t="s">
        <v>36</v>
      </c>
      <c r="C7" s="12">
        <f>SUM(C3:C6)</f>
        <v>5</v>
      </c>
      <c r="D7" s="12">
        <f>SUM(D3:D6)</f>
        <v>0</v>
      </c>
    </row>
    <row r="10" spans="1:4" x14ac:dyDescent="0.3">
      <c r="A10" t="s">
        <v>37</v>
      </c>
      <c r="B10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58F0-E7FB-41D3-BC92-2785DBA97824}">
  <dimension ref="A2:M24"/>
  <sheetViews>
    <sheetView topLeftCell="C1" zoomScale="96" zoomScaleNormal="96" workbookViewId="0">
      <selection activeCell="M24" sqref="M24"/>
    </sheetView>
  </sheetViews>
  <sheetFormatPr defaultRowHeight="14.4" x14ac:dyDescent="0.3"/>
  <cols>
    <col min="1" max="1" width="9.77734375" bestFit="1" customWidth="1"/>
    <col min="2" max="2" width="36.6640625" customWidth="1"/>
    <col min="8" max="9" width="17.109375" bestFit="1" customWidth="1"/>
    <col min="10" max="10" width="8.88671875" bestFit="1" customWidth="1"/>
    <col min="11" max="11" width="17.109375" bestFit="1" customWidth="1"/>
    <col min="12" max="12" width="22.5546875" bestFit="1" customWidth="1"/>
    <col min="13" max="13" width="18" bestFit="1" customWidth="1"/>
  </cols>
  <sheetData>
    <row r="2" spans="1:13" x14ac:dyDescent="0.3">
      <c r="A2" t="s">
        <v>33</v>
      </c>
      <c r="B2" t="s">
        <v>19</v>
      </c>
    </row>
    <row r="5" spans="1:13" x14ac:dyDescent="0.3">
      <c r="H5" s="14" t="s">
        <v>2</v>
      </c>
      <c r="I5" s="14" t="s">
        <v>0</v>
      </c>
      <c r="J5" s="14" t="s">
        <v>1</v>
      </c>
      <c r="K5" t="s">
        <v>44</v>
      </c>
      <c r="L5" t="s">
        <v>45</v>
      </c>
      <c r="M5" t="s">
        <v>46</v>
      </c>
    </row>
    <row r="6" spans="1:13" x14ac:dyDescent="0.3">
      <c r="H6" t="s">
        <v>18</v>
      </c>
      <c r="I6" t="s">
        <v>7</v>
      </c>
      <c r="J6" s="1">
        <v>43101</v>
      </c>
      <c r="K6" s="17">
        <v>32</v>
      </c>
      <c r="L6" s="17">
        <v>5163</v>
      </c>
      <c r="M6" s="17">
        <v>487</v>
      </c>
    </row>
    <row r="7" spans="1:13" x14ac:dyDescent="0.3">
      <c r="J7" s="1">
        <v>43102</v>
      </c>
      <c r="K7" s="17">
        <v>47</v>
      </c>
      <c r="L7" s="17">
        <v>4755</v>
      </c>
      <c r="M7" s="17">
        <v>541</v>
      </c>
    </row>
    <row r="8" spans="1:13" x14ac:dyDescent="0.3">
      <c r="J8" s="1">
        <v>43103</v>
      </c>
      <c r="K8" s="17">
        <v>27</v>
      </c>
      <c r="L8" s="17">
        <v>4230</v>
      </c>
      <c r="M8" s="17">
        <v>295</v>
      </c>
    </row>
    <row r="9" spans="1:13" x14ac:dyDescent="0.3">
      <c r="I9" t="s">
        <v>50</v>
      </c>
      <c r="K9" s="17">
        <v>106</v>
      </c>
      <c r="L9" s="17">
        <v>14148</v>
      </c>
      <c r="M9" s="17">
        <v>1323</v>
      </c>
    </row>
    <row r="10" spans="1:13" x14ac:dyDescent="0.3">
      <c r="I10" t="s">
        <v>12</v>
      </c>
      <c r="J10" s="1">
        <v>43101</v>
      </c>
      <c r="K10" s="17">
        <v>40</v>
      </c>
      <c r="L10" s="17">
        <v>4151</v>
      </c>
      <c r="M10" s="17">
        <v>367</v>
      </c>
    </row>
    <row r="11" spans="1:13" x14ac:dyDescent="0.3">
      <c r="J11" s="1">
        <v>43102</v>
      </c>
      <c r="K11" s="17">
        <v>40</v>
      </c>
      <c r="L11" s="17">
        <v>4645</v>
      </c>
      <c r="M11" s="17">
        <v>390</v>
      </c>
    </row>
    <row r="12" spans="1:13" x14ac:dyDescent="0.3">
      <c r="J12" s="1">
        <v>43103</v>
      </c>
      <c r="K12" s="17">
        <v>28</v>
      </c>
      <c r="L12" s="17">
        <v>2983</v>
      </c>
      <c r="M12" s="17">
        <v>318</v>
      </c>
    </row>
    <row r="13" spans="1:13" x14ac:dyDescent="0.3">
      <c r="I13" t="s">
        <v>52</v>
      </c>
      <c r="K13" s="17">
        <v>108</v>
      </c>
      <c r="L13" s="17">
        <v>11779</v>
      </c>
      <c r="M13" s="17">
        <v>1075</v>
      </c>
    </row>
    <row r="14" spans="1:13" x14ac:dyDescent="0.3">
      <c r="H14" t="s">
        <v>47</v>
      </c>
      <c r="K14" s="17">
        <v>214</v>
      </c>
      <c r="L14" s="17">
        <v>25927</v>
      </c>
      <c r="M14" s="17">
        <v>2398</v>
      </c>
    </row>
    <row r="15" spans="1:13" x14ac:dyDescent="0.3">
      <c r="H15" t="s">
        <v>17</v>
      </c>
      <c r="I15" t="s">
        <v>5</v>
      </c>
      <c r="J15" s="1">
        <v>43101</v>
      </c>
      <c r="K15" s="17">
        <v>38</v>
      </c>
      <c r="L15" s="17">
        <v>4632</v>
      </c>
      <c r="M15" s="17">
        <v>462</v>
      </c>
    </row>
    <row r="16" spans="1:13" x14ac:dyDescent="0.3">
      <c r="J16" s="1">
        <v>43102</v>
      </c>
      <c r="K16" s="17">
        <v>31</v>
      </c>
      <c r="L16" s="17">
        <v>3915</v>
      </c>
      <c r="M16" s="17">
        <v>377</v>
      </c>
    </row>
    <row r="17" spans="8:13" x14ac:dyDescent="0.3">
      <c r="J17" s="1">
        <v>43103</v>
      </c>
      <c r="K17" s="17">
        <v>11</v>
      </c>
      <c r="L17" s="17">
        <v>1518</v>
      </c>
      <c r="M17" s="17">
        <v>138</v>
      </c>
    </row>
    <row r="18" spans="8:13" x14ac:dyDescent="0.3">
      <c r="I18" t="s">
        <v>49</v>
      </c>
      <c r="K18" s="17">
        <v>80</v>
      </c>
      <c r="L18" s="17">
        <v>10065</v>
      </c>
      <c r="M18" s="17">
        <v>977</v>
      </c>
    </row>
    <row r="19" spans="8:13" x14ac:dyDescent="0.3">
      <c r="I19" t="s">
        <v>9</v>
      </c>
      <c r="J19" s="1">
        <v>43101</v>
      </c>
      <c r="K19" s="17">
        <v>24</v>
      </c>
      <c r="L19" s="17">
        <v>2862</v>
      </c>
      <c r="M19" s="17">
        <v>238</v>
      </c>
    </row>
    <row r="20" spans="8:13" x14ac:dyDescent="0.3">
      <c r="J20" s="1">
        <v>43102</v>
      </c>
      <c r="K20" s="17">
        <v>22</v>
      </c>
      <c r="L20" s="17">
        <v>3310</v>
      </c>
      <c r="M20" s="17">
        <v>380</v>
      </c>
    </row>
    <row r="21" spans="8:13" x14ac:dyDescent="0.3">
      <c r="J21" s="1">
        <v>43103</v>
      </c>
      <c r="K21" s="17">
        <v>14</v>
      </c>
      <c r="L21" s="17">
        <v>1384</v>
      </c>
      <c r="M21" s="17">
        <v>181</v>
      </c>
    </row>
    <row r="22" spans="8:13" x14ac:dyDescent="0.3">
      <c r="I22" t="s">
        <v>51</v>
      </c>
      <c r="K22" s="17">
        <v>60</v>
      </c>
      <c r="L22" s="17">
        <v>7556</v>
      </c>
      <c r="M22" s="17">
        <v>799</v>
      </c>
    </row>
    <row r="23" spans="8:13" x14ac:dyDescent="0.3">
      <c r="H23" t="s">
        <v>48</v>
      </c>
      <c r="K23" s="17">
        <v>140</v>
      </c>
      <c r="L23" s="17">
        <v>17621</v>
      </c>
      <c r="M23" s="17">
        <v>1776</v>
      </c>
    </row>
    <row r="24" spans="8:13" x14ac:dyDescent="0.3">
      <c r="H24" t="s">
        <v>43</v>
      </c>
      <c r="K24" s="17">
        <v>354</v>
      </c>
      <c r="L24" s="17">
        <v>43548</v>
      </c>
      <c r="M24" s="17">
        <v>4174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C397-9446-482B-BB88-5A4D74F7B128}">
  <dimension ref="A1:K7"/>
  <sheetViews>
    <sheetView workbookViewId="0">
      <selection activeCell="E4" sqref="E4"/>
    </sheetView>
  </sheetViews>
  <sheetFormatPr defaultRowHeight="14.4" x14ac:dyDescent="0.3"/>
  <cols>
    <col min="1" max="1" width="12.44140625" bestFit="1" customWidth="1"/>
    <col min="2" max="2" width="8.44140625" bestFit="1" customWidth="1"/>
    <col min="3" max="3" width="11.6640625" customWidth="1"/>
  </cols>
  <sheetData>
    <row r="1" spans="1:11" x14ac:dyDescent="0.3">
      <c r="A1" t="s">
        <v>34</v>
      </c>
      <c r="B1" s="15" t="s">
        <v>32</v>
      </c>
      <c r="C1" s="15"/>
      <c r="D1" s="15"/>
      <c r="E1" s="15"/>
      <c r="F1" s="15"/>
      <c r="G1" s="15"/>
      <c r="H1" s="15"/>
      <c r="I1" s="15"/>
      <c r="J1" s="15"/>
      <c r="K1" s="15"/>
    </row>
    <row r="3" spans="1:11" x14ac:dyDescent="0.3">
      <c r="A3" s="9" t="s">
        <v>0</v>
      </c>
      <c r="B3" s="13" t="s">
        <v>1</v>
      </c>
      <c r="C3" s="9" t="s">
        <v>20</v>
      </c>
    </row>
    <row r="4" spans="1:11" x14ac:dyDescent="0.3">
      <c r="A4" s="4" t="s">
        <v>5</v>
      </c>
      <c r="B4" s="5">
        <v>43101</v>
      </c>
      <c r="C4" s="4" cm="1">
        <f t="array" ref="C4">SUMPRODUCT(('Raw Data'!$E$2:$E$41)*('Raw Data'!$A$2:$A$41='Q2'!$A4)*('Raw Data'!$B$2:$B$41='Q2'!$B4))</f>
        <v>462</v>
      </c>
      <c r="D4">
        <f>SUMIFS('Raw Data'!$E$2:$E$41,'Raw Data'!$A$2:$A$41,'Q2'!$A4,'Raw Data'!$B$2:$B$41,'Q2'!$B4)</f>
        <v>462</v>
      </c>
      <c r="E4" cm="1">
        <f t="array" ref="E4">SUMPRODUCT(('Raw Data'!$E$2:$E$41)*('Raw Data'!$A$2:$A$41='Q2'!$A4)*('Raw Data'!$B$2:$B$41='Q2'!$B4))</f>
        <v>462</v>
      </c>
      <c r="F4">
        <f>SUMIFS('Raw Data'!$E$2:$E$41,'Raw Data'!$A$2:$A$41,'Q2'!$A4,'Raw Data'!$B$2:$B$41,'Q2'!$B4)</f>
        <v>462</v>
      </c>
    </row>
    <row r="5" spans="1:11" x14ac:dyDescent="0.3">
      <c r="A5" s="4" t="s">
        <v>7</v>
      </c>
      <c r="B5" s="5">
        <v>43101</v>
      </c>
      <c r="C5" s="4" cm="1">
        <f t="array" ref="C5">SUMPRODUCT(('Raw Data'!$E$2:$E$41)*('Raw Data'!$A$2:$A$41='Q2'!$A5)*('Raw Data'!$B$2:$B$41='Q2'!$B5))</f>
        <v>487</v>
      </c>
      <c r="D5">
        <f>SUMIFS('Raw Data'!$E$2:$E$41,'Raw Data'!$A$2:$A$41,'Q2'!$A5,'Raw Data'!$B$2:$B$41,'Q2'!$B5)</f>
        <v>487</v>
      </c>
      <c r="E5" cm="1">
        <f t="array" ref="E5">SUMPRODUCT(('Raw Data'!$E$2:$E$41)*('Raw Data'!$A$2:$A$41='Q2'!$A5)*('Raw Data'!$B$2:$B$41='Q2'!$B5))</f>
        <v>487</v>
      </c>
      <c r="F5">
        <f>SUMIFS('Raw Data'!$E$2:$E$41,'Raw Data'!$A$2:$A$41,'Q2'!$A5,'Raw Data'!$B$2:$B$41,'Q2'!$B5)</f>
        <v>487</v>
      </c>
    </row>
    <row r="6" spans="1:11" x14ac:dyDescent="0.3">
      <c r="A6" s="4" t="s">
        <v>9</v>
      </c>
      <c r="B6" s="5">
        <v>43102</v>
      </c>
      <c r="C6" s="4" cm="1">
        <f t="array" ref="C6">SUMPRODUCT(('Raw Data'!$E$2:$E$41)*('Raw Data'!$A$2:$A$41='Q2'!$A6)*('Raw Data'!$B$2:$B$41='Q2'!$B6))</f>
        <v>380</v>
      </c>
      <c r="D6">
        <f>SUMIFS('Raw Data'!$E$2:$E$41,'Raw Data'!$A$2:$A$41,'Q2'!$A6,'Raw Data'!$B$2:$B$41,'Q2'!$B6)</f>
        <v>380</v>
      </c>
      <c r="E6" cm="1">
        <f t="array" ref="E6">SUMPRODUCT(('Raw Data'!$E$2:$E$41)*('Raw Data'!$A$2:$A$41='Q2'!$A6)*('Raw Data'!$B$2:$B$41='Q2'!$B6))</f>
        <v>380</v>
      </c>
      <c r="F6">
        <f>SUMIFS('Raw Data'!$E$2:$E$41,'Raw Data'!$A$2:$A$41,'Q2'!$A6,'Raw Data'!$B$2:$B$41,'Q2'!$B6)</f>
        <v>380</v>
      </c>
    </row>
    <row r="7" spans="1:11" x14ac:dyDescent="0.3">
      <c r="A7" s="4" t="s">
        <v>12</v>
      </c>
      <c r="B7" s="5">
        <v>43103</v>
      </c>
      <c r="C7" s="4" cm="1">
        <f t="array" ref="C7">SUMPRODUCT(('Raw Data'!$E$2:$E$41)*('Raw Data'!$A$2:$A$41='Q2'!$A7)*('Raw Data'!$B$2:$B$41='Q2'!$B7))</f>
        <v>318</v>
      </c>
      <c r="D7">
        <f>SUMIFS('Raw Data'!$E$2:$E$41,'Raw Data'!$A$2:$A$41,'Q2'!$A7,'Raw Data'!$B$2:$B$41,'Q2'!$B7)</f>
        <v>318</v>
      </c>
      <c r="E7" cm="1">
        <f t="array" ref="E7">SUMPRODUCT(('Raw Data'!$E$2:$E$41)*('Raw Data'!$A$2:$A$41='Q2'!$A7)*('Raw Data'!$B$2:$B$41='Q2'!$B7))</f>
        <v>318</v>
      </c>
      <c r="F7">
        <f>SUMIFS('Raw Data'!$E$2:$E$41,'Raw Data'!$A$2:$A$41,'Q2'!$A7,'Raw Data'!$B$2:$B$41,'Q2'!$B7)</f>
        <v>318</v>
      </c>
    </row>
  </sheetData>
  <mergeCells count="1">
    <mergeCell ref="B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F731-7DBF-409F-AC05-018634681900}">
  <dimension ref="A1:H10"/>
  <sheetViews>
    <sheetView workbookViewId="0">
      <selection activeCell="C5" sqref="C5"/>
    </sheetView>
  </sheetViews>
  <sheetFormatPr defaultRowHeight="14.4" x14ac:dyDescent="0.3"/>
  <cols>
    <col min="1" max="1" width="15.33203125" customWidth="1"/>
    <col min="2" max="2" width="10.77734375" customWidth="1"/>
    <col min="3" max="3" width="14.77734375" customWidth="1"/>
    <col min="8" max="8" width="17.88671875" customWidth="1"/>
  </cols>
  <sheetData>
    <row r="1" spans="1:8" ht="31.05" customHeight="1" x14ac:dyDescent="0.3">
      <c r="A1" s="6" t="s">
        <v>22</v>
      </c>
      <c r="B1" s="16" t="s">
        <v>39</v>
      </c>
      <c r="C1" s="16"/>
      <c r="D1" s="16"/>
      <c r="E1" s="16"/>
      <c r="F1" s="16"/>
      <c r="G1" s="16"/>
      <c r="H1" s="16"/>
    </row>
    <row r="4" spans="1:8" x14ac:dyDescent="0.3">
      <c r="A4" s="9" t="s">
        <v>4</v>
      </c>
      <c r="B4" s="13" t="s">
        <v>1</v>
      </c>
      <c r="C4" s="9" t="s">
        <v>35</v>
      </c>
    </row>
    <row r="5" spans="1:8" x14ac:dyDescent="0.3">
      <c r="A5" s="4" t="s">
        <v>8</v>
      </c>
      <c r="B5" s="5">
        <v>43101</v>
      </c>
      <c r="C5" s="3">
        <f>_xlfn.MAXIFS('Raw Data'!$E$2:$E$41,'Raw Data'!$D$2:$D$41,'Q3'!$A5,'Raw Data'!$B$2:$B$41,'Q3'!$B5)</f>
        <v>194</v>
      </c>
      <c r="D5" cm="1">
        <f t="array" ref="D5">MAX(('Raw Data'!$B$2:$B$41='Q3'!$B5)*('Raw Data'!$D$2:$D$41='Q3'!$A5)*('Raw Data'!$E$2:$E$41))</f>
        <v>194</v>
      </c>
      <c r="E5" cm="1">
        <f t="array" ref="E5">MAX(IF('Raw Data'!$B$2:$B$41='Q3'!$B5,IF('Raw Data'!$D$2:$D$41='Q3'!$A5,'Raw Data'!$E$2:$E$41)))</f>
        <v>194</v>
      </c>
    </row>
    <row r="6" spans="1:8" x14ac:dyDescent="0.3">
      <c r="A6" s="4" t="s">
        <v>10</v>
      </c>
      <c r="B6" s="5">
        <v>43101</v>
      </c>
      <c r="C6" s="3">
        <f>_xlfn.MAXIFS('Raw Data'!$E$2:$E$41,'Raw Data'!$D$2:$D$41,'Q3'!$A6,'Raw Data'!$B$2:$B$41,'Q3'!$B6)</f>
        <v>118</v>
      </c>
      <c r="D6" cm="1">
        <f t="array" ref="D6">MAX(('Raw Data'!$B$2:$B$41='Q3'!$B6)*('Raw Data'!$D$2:$D$41='Q3'!$A6)*('Raw Data'!$E$2:$E$41))</f>
        <v>118</v>
      </c>
      <c r="E6" cm="1">
        <f t="array" ref="E6">MAX(IF('Raw Data'!$B$2:$B$41='Q3'!$B6,IF('Raw Data'!$D$2:$D$41='Q3'!$A6,'Raw Data'!$E$2:$E$41)))</f>
        <v>118</v>
      </c>
    </row>
    <row r="7" spans="1:8" x14ac:dyDescent="0.3">
      <c r="A7" s="4" t="s">
        <v>11</v>
      </c>
      <c r="B7" s="5">
        <v>43101</v>
      </c>
      <c r="C7" s="3">
        <f>_xlfn.MAXIFS('Raw Data'!$E$2:$E$41,'Raw Data'!$D$2:$D$41,'Q3'!$A7,'Raw Data'!$B$2:$B$41,'Q3'!$B7)</f>
        <v>120</v>
      </c>
      <c r="D7" cm="1">
        <f t="array" ref="D7">MAX(('Raw Data'!$B$2:$B$41='Q3'!$B7)*('Raw Data'!$D$2:$D$41='Q3'!$A7)*('Raw Data'!$E$2:$E$41))</f>
        <v>120</v>
      </c>
      <c r="E7" cm="1">
        <f t="array" ref="E7">MAX(IF('Raw Data'!$B$2:$B$41='Q3'!$B7,IF('Raw Data'!$D$2:$D$41='Q3'!$A7,'Raw Data'!$E$2:$E$41)))</f>
        <v>120</v>
      </c>
    </row>
    <row r="8" spans="1:8" x14ac:dyDescent="0.3">
      <c r="A8" s="4" t="s">
        <v>13</v>
      </c>
      <c r="B8" s="5">
        <v>43102</v>
      </c>
      <c r="C8" s="3">
        <f>_xlfn.MAXIFS('Raw Data'!$E$2:$E$41,'Raw Data'!$D$2:$D$41,'Q3'!$A8,'Raw Data'!$B$2:$B$41,'Q3'!$B8)</f>
        <v>39</v>
      </c>
      <c r="D8" cm="1">
        <f t="array" ref="D8">MAX(('Raw Data'!$B$2:$B$41='Q3'!$B8)*('Raw Data'!$D$2:$D$41='Q3'!$A8)*('Raw Data'!$E$2:$E$41))</f>
        <v>39</v>
      </c>
      <c r="E8" cm="1">
        <f t="array" ref="E8">MAX(IF('Raw Data'!$B$2:$B$41='Q3'!$B8,IF('Raw Data'!$D$2:$D$41='Q3'!$A8,'Raw Data'!$E$2:$E$41)))</f>
        <v>39</v>
      </c>
    </row>
    <row r="9" spans="1:8" x14ac:dyDescent="0.3">
      <c r="A9" s="4" t="s">
        <v>14</v>
      </c>
      <c r="B9" s="5">
        <v>43103</v>
      </c>
      <c r="C9" s="3">
        <f>_xlfn.MAXIFS('Raw Data'!$E$2:$E$41,'Raw Data'!$D$2:$D$41,'Q3'!$A9,'Raw Data'!$B$2:$B$41,'Q3'!$B9)</f>
        <v>197</v>
      </c>
      <c r="D9" cm="1">
        <f t="array" ref="D9">MAX(('Raw Data'!$B$2:$B$41='Q3'!$B9)*('Raw Data'!$D$2:$D$41='Q3'!$A9)*('Raw Data'!$E$2:$E$41))</f>
        <v>197</v>
      </c>
      <c r="E9" cm="1">
        <f t="array" ref="E9">MAX(IF('Raw Data'!$B$2:$B$41='Q3'!$B9,IF('Raw Data'!$D$2:$D$41='Q3'!$A9,'Raw Data'!$E$2:$E$41)))</f>
        <v>197</v>
      </c>
    </row>
    <row r="10" spans="1:8" x14ac:dyDescent="0.3">
      <c r="A10" s="4" t="s">
        <v>15</v>
      </c>
      <c r="B10" s="5">
        <v>43103</v>
      </c>
      <c r="C10" s="3">
        <f>_xlfn.MAXIFS('Raw Data'!$E$2:$E$41,'Raw Data'!$D$2:$D$41,'Q3'!$A10,'Raw Data'!$B$2:$B$41,'Q3'!$B10)</f>
        <v>117</v>
      </c>
      <c r="D10" cm="1">
        <f t="array" ref="D10">MAX(('Raw Data'!$B$2:$B$41='Q3'!$B10)*('Raw Data'!$D$2:$D$41='Q3'!$A10)*('Raw Data'!$E$2:$E$41))</f>
        <v>117</v>
      </c>
      <c r="E10" cm="1">
        <f t="array" ref="E10">MAX(IF('Raw Data'!$B$2:$B$41='Q3'!$B10,IF('Raw Data'!$D$2:$D$41='Q3'!$A10,'Raw Data'!$E$2:$E$41)))</f>
        <v>117</v>
      </c>
    </row>
  </sheetData>
  <mergeCells count="1">
    <mergeCell ref="B1:H1"/>
  </mergeCells>
  <conditionalFormatting sqref="C5:C10">
    <cfRule type="cellIs" dxfId="0" priority="1" operator="greaterThan">
      <formula>150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C5" sqref="C5"/>
    </sheetView>
  </sheetViews>
  <sheetFormatPr defaultRowHeight="14.4" x14ac:dyDescent="0.3"/>
  <cols>
    <col min="1" max="1" width="16" customWidth="1"/>
    <col min="2" max="2" width="15.77734375" customWidth="1"/>
  </cols>
  <sheetData>
    <row r="1" spans="1:7" x14ac:dyDescent="0.3">
      <c r="A1" t="s">
        <v>23</v>
      </c>
      <c r="B1" s="15" t="s">
        <v>24</v>
      </c>
      <c r="C1" s="15"/>
      <c r="D1" s="15"/>
      <c r="E1" s="15"/>
      <c r="F1" s="15"/>
      <c r="G1" s="15"/>
    </row>
    <row r="3" spans="1:7" x14ac:dyDescent="0.3">
      <c r="A3" s="9" t="s">
        <v>0</v>
      </c>
      <c r="B3" s="9" t="s">
        <v>4</v>
      </c>
    </row>
    <row r="4" spans="1:7" x14ac:dyDescent="0.3">
      <c r="A4" s="4" t="s">
        <v>5</v>
      </c>
      <c r="B4" s="4" t="str">
        <f>VLOOKUP($A4,'Raw Data'!$A$2:$G$41,MATCH('Q4'!B$3,'Raw Data'!$A$1:$G$1,0),0)</f>
        <v>Collection</v>
      </c>
      <c r="C4" t="str">
        <f>INDEX('Raw Data'!$D:$D,MATCH('Q4'!$A4,'Raw Data'!A:A,0))</f>
        <v>Collection</v>
      </c>
    </row>
    <row r="5" spans="1:7" x14ac:dyDescent="0.3">
      <c r="A5" s="4" t="s">
        <v>7</v>
      </c>
      <c r="B5" s="4" t="str">
        <f>VLOOKUP($A5,'Raw Data'!$A$2:$G$41,MATCH('Q4'!B$3,'Raw Data'!$A$1:$G$1,0),0)</f>
        <v>Booking</v>
      </c>
      <c r="C5" t="str">
        <f>INDEX('Raw Data'!$D:$D,MATCH('Q4'!$A5,'Raw Data'!A:A,0))</f>
        <v>Booking</v>
      </c>
    </row>
    <row r="6" spans="1:7" x14ac:dyDescent="0.3">
      <c r="A6" s="4" t="s">
        <v>9</v>
      </c>
      <c r="B6" s="4" t="str">
        <f>VLOOKUP($A6,'Raw Data'!$A$2:$G$41,MATCH('Q4'!B$3,'Raw Data'!$A$1:$G$1,0),0)</f>
        <v>Cancellation</v>
      </c>
      <c r="C6" t="str">
        <f>INDEX('Raw Data'!$D:$D,MATCH('Q4'!$A6,'Raw Data'!A:A,0))</f>
        <v>Cancellation</v>
      </c>
    </row>
    <row r="7" spans="1:7" x14ac:dyDescent="0.3">
      <c r="A7" s="4" t="s">
        <v>12</v>
      </c>
      <c r="B7" s="4" t="str">
        <f>VLOOKUP($A7,'Raw Data'!$A$2:$G$41,MATCH('Q4'!B$3,'Raw Data'!$A$1:$G$1,0),0)</f>
        <v>Booking</v>
      </c>
      <c r="C7" t="str">
        <f>INDEX('Raw Data'!$D:$D,MATCH('Q4'!$A7,'Raw Data'!A:A,0))</f>
        <v>Booking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1B66-15C5-4351-A7E4-CD5C12F4B709}">
  <dimension ref="A3:F22"/>
  <sheetViews>
    <sheetView workbookViewId="0"/>
  </sheetViews>
  <sheetFormatPr defaultRowHeight="14.4" x14ac:dyDescent="0.3"/>
  <cols>
    <col min="1" max="1" width="12.109375" bestFit="1" customWidth="1"/>
    <col min="2" max="2" width="13.5546875" bestFit="1" customWidth="1"/>
    <col min="3" max="3" width="8.5546875" bestFit="1" customWidth="1"/>
    <col min="4" max="4" width="16.44140625" bestFit="1" customWidth="1"/>
    <col min="5" max="5" width="21.6640625" bestFit="1" customWidth="1"/>
    <col min="6" max="6" width="17.33203125" bestFit="1" customWidth="1"/>
    <col min="7" max="10" width="21.6640625" bestFit="1" customWidth="1"/>
    <col min="11" max="11" width="21.33203125" bestFit="1" customWidth="1"/>
    <col min="12" max="12" width="26.44140625" bestFit="1" customWidth="1"/>
    <col min="13" max="13" width="22.109375" bestFit="1" customWidth="1"/>
  </cols>
  <sheetData>
    <row r="3" spans="1:6" x14ac:dyDescent="0.3">
      <c r="A3" s="14" t="s">
        <v>2</v>
      </c>
      <c r="B3" s="14" t="s">
        <v>0</v>
      </c>
      <c r="C3" s="14" t="s">
        <v>1</v>
      </c>
      <c r="D3" t="s">
        <v>44</v>
      </c>
      <c r="E3" t="s">
        <v>45</v>
      </c>
      <c r="F3" t="s">
        <v>46</v>
      </c>
    </row>
    <row r="4" spans="1:6" x14ac:dyDescent="0.3">
      <c r="A4" t="s">
        <v>18</v>
      </c>
      <c r="B4" t="s">
        <v>7</v>
      </c>
      <c r="C4" s="1">
        <v>43101</v>
      </c>
      <c r="D4">
        <v>32</v>
      </c>
      <c r="E4">
        <v>5163</v>
      </c>
      <c r="F4">
        <v>487</v>
      </c>
    </row>
    <row r="5" spans="1:6" x14ac:dyDescent="0.3">
      <c r="C5" s="1">
        <v>43102</v>
      </c>
      <c r="D5">
        <v>47</v>
      </c>
      <c r="E5">
        <v>4755</v>
      </c>
      <c r="F5">
        <v>541</v>
      </c>
    </row>
    <row r="6" spans="1:6" x14ac:dyDescent="0.3">
      <c r="C6" s="1">
        <v>43103</v>
      </c>
      <c r="D6">
        <v>27</v>
      </c>
      <c r="E6">
        <v>4230</v>
      </c>
      <c r="F6">
        <v>295</v>
      </c>
    </row>
    <row r="7" spans="1:6" x14ac:dyDescent="0.3">
      <c r="B7" t="s">
        <v>50</v>
      </c>
      <c r="D7">
        <v>106</v>
      </c>
      <c r="E7">
        <v>14148</v>
      </c>
      <c r="F7">
        <v>1323</v>
      </c>
    </row>
    <row r="8" spans="1:6" x14ac:dyDescent="0.3">
      <c r="B8" t="s">
        <v>12</v>
      </c>
      <c r="C8" s="1">
        <v>43101</v>
      </c>
      <c r="D8">
        <v>40</v>
      </c>
      <c r="E8">
        <v>4151</v>
      </c>
      <c r="F8">
        <v>367</v>
      </c>
    </row>
    <row r="9" spans="1:6" x14ac:dyDescent="0.3">
      <c r="C9" s="1">
        <v>43102</v>
      </c>
      <c r="D9">
        <v>40</v>
      </c>
      <c r="E9">
        <v>4645</v>
      </c>
      <c r="F9">
        <v>390</v>
      </c>
    </row>
    <row r="10" spans="1:6" x14ac:dyDescent="0.3">
      <c r="C10" s="1">
        <v>43103</v>
      </c>
      <c r="D10">
        <v>28</v>
      </c>
      <c r="E10">
        <v>2983</v>
      </c>
      <c r="F10">
        <v>318</v>
      </c>
    </row>
    <row r="11" spans="1:6" x14ac:dyDescent="0.3">
      <c r="B11" t="s">
        <v>52</v>
      </c>
      <c r="D11">
        <v>108</v>
      </c>
      <c r="E11">
        <v>11779</v>
      </c>
      <c r="F11">
        <v>1075</v>
      </c>
    </row>
    <row r="12" spans="1:6" x14ac:dyDescent="0.3">
      <c r="A12" t="s">
        <v>47</v>
      </c>
      <c r="D12">
        <v>214</v>
      </c>
      <c r="E12">
        <v>25927</v>
      </c>
      <c r="F12">
        <v>2398</v>
      </c>
    </row>
    <row r="13" spans="1:6" x14ac:dyDescent="0.3">
      <c r="A13" t="s">
        <v>17</v>
      </c>
      <c r="B13" t="s">
        <v>5</v>
      </c>
      <c r="C13" s="1">
        <v>43101</v>
      </c>
      <c r="D13">
        <v>38</v>
      </c>
      <c r="E13">
        <v>4632</v>
      </c>
      <c r="F13">
        <v>462</v>
      </c>
    </row>
    <row r="14" spans="1:6" x14ac:dyDescent="0.3">
      <c r="C14" s="1">
        <v>43102</v>
      </c>
      <c r="D14">
        <v>31</v>
      </c>
      <c r="E14">
        <v>3915</v>
      </c>
      <c r="F14">
        <v>377</v>
      </c>
    </row>
    <row r="15" spans="1:6" x14ac:dyDescent="0.3">
      <c r="C15" s="1">
        <v>43103</v>
      </c>
      <c r="D15">
        <v>11</v>
      </c>
      <c r="E15">
        <v>1518</v>
      </c>
      <c r="F15">
        <v>138</v>
      </c>
    </row>
    <row r="16" spans="1:6" x14ac:dyDescent="0.3">
      <c r="B16" t="s">
        <v>49</v>
      </c>
      <c r="D16">
        <v>80</v>
      </c>
      <c r="E16">
        <v>10065</v>
      </c>
      <c r="F16">
        <v>977</v>
      </c>
    </row>
    <row r="17" spans="1:6" x14ac:dyDescent="0.3">
      <c r="B17" t="s">
        <v>9</v>
      </c>
      <c r="C17" s="1">
        <v>43101</v>
      </c>
      <c r="D17">
        <v>24</v>
      </c>
      <c r="E17">
        <v>2862</v>
      </c>
      <c r="F17">
        <v>238</v>
      </c>
    </row>
    <row r="18" spans="1:6" x14ac:dyDescent="0.3">
      <c r="C18" s="1">
        <v>43102</v>
      </c>
      <c r="D18">
        <v>22</v>
      </c>
      <c r="E18">
        <v>3310</v>
      </c>
      <c r="F18">
        <v>380</v>
      </c>
    </row>
    <row r="19" spans="1:6" x14ac:dyDescent="0.3">
      <c r="C19" s="1">
        <v>43103</v>
      </c>
      <c r="D19">
        <v>14</v>
      </c>
      <c r="E19">
        <v>1384</v>
      </c>
      <c r="F19">
        <v>181</v>
      </c>
    </row>
    <row r="20" spans="1:6" x14ac:dyDescent="0.3">
      <c r="B20" t="s">
        <v>51</v>
      </c>
      <c r="D20">
        <v>60</v>
      </c>
      <c r="E20">
        <v>7556</v>
      </c>
      <c r="F20">
        <v>799</v>
      </c>
    </row>
    <row r="21" spans="1:6" x14ac:dyDescent="0.3">
      <c r="A21" t="s">
        <v>48</v>
      </c>
      <c r="D21">
        <v>140</v>
      </c>
      <c r="E21">
        <v>17621</v>
      </c>
      <c r="F21">
        <v>1776</v>
      </c>
    </row>
    <row r="22" spans="1:6" x14ac:dyDescent="0.3">
      <c r="A22" t="s">
        <v>43</v>
      </c>
      <c r="D22">
        <v>354</v>
      </c>
      <c r="E22">
        <v>43548</v>
      </c>
      <c r="F22">
        <v>4174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abSelected="1" workbookViewId="0">
      <selection activeCell="A2" sqref="A2"/>
    </sheetView>
  </sheetViews>
  <sheetFormatPr defaultColWidth="19.5546875" defaultRowHeight="14.4" x14ac:dyDescent="0.3"/>
  <cols>
    <col min="1" max="1" width="13.44140625" bestFit="1" customWidth="1"/>
    <col min="2" max="2" width="8.77734375" bestFit="1" customWidth="1"/>
    <col min="3" max="3" width="13.5546875" bestFit="1" customWidth="1"/>
    <col min="4" max="4" width="14.77734375" bestFit="1" customWidth="1"/>
    <col min="5" max="5" width="11.21875" bestFit="1" customWidth="1"/>
    <col min="6" max="6" width="10.21875" bestFit="1" customWidth="1"/>
    <col min="7" max="8" width="1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41</v>
      </c>
      <c r="G1" t="s">
        <v>42</v>
      </c>
    </row>
    <row r="2" spans="1:7" x14ac:dyDescent="0.3">
      <c r="A2" t="s">
        <v>5</v>
      </c>
      <c r="B2" s="1">
        <v>43101</v>
      </c>
      <c r="C2" t="s">
        <v>17</v>
      </c>
      <c r="D2" t="s">
        <v>6</v>
      </c>
      <c r="E2">
        <v>172</v>
      </c>
      <c r="F2">
        <v>14</v>
      </c>
      <c r="G2">
        <f t="shared" ref="G2:G41" si="0">E2*F2</f>
        <v>2408</v>
      </c>
    </row>
    <row r="3" spans="1:7" x14ac:dyDescent="0.3">
      <c r="A3" t="s">
        <v>5</v>
      </c>
      <c r="B3" s="1">
        <v>43101</v>
      </c>
      <c r="C3" t="s">
        <v>17</v>
      </c>
      <c r="D3" t="s">
        <v>6</v>
      </c>
      <c r="E3">
        <v>38</v>
      </c>
      <c r="F3">
        <v>4</v>
      </c>
      <c r="G3">
        <f t="shared" si="0"/>
        <v>152</v>
      </c>
    </row>
    <row r="4" spans="1:7" x14ac:dyDescent="0.3">
      <c r="A4" t="s">
        <v>5</v>
      </c>
      <c r="B4" s="1">
        <v>43101</v>
      </c>
      <c r="C4" t="s">
        <v>17</v>
      </c>
      <c r="D4" t="s">
        <v>6</v>
      </c>
      <c r="E4">
        <v>92</v>
      </c>
      <c r="F4">
        <v>8</v>
      </c>
      <c r="G4">
        <f t="shared" si="0"/>
        <v>736</v>
      </c>
    </row>
    <row r="5" spans="1:7" x14ac:dyDescent="0.3">
      <c r="A5" t="s">
        <v>5</v>
      </c>
      <c r="B5" s="1">
        <v>43101</v>
      </c>
      <c r="C5" t="s">
        <v>17</v>
      </c>
      <c r="D5" t="s">
        <v>6</v>
      </c>
      <c r="E5">
        <v>127</v>
      </c>
      <c r="F5">
        <v>10</v>
      </c>
      <c r="G5">
        <f t="shared" si="0"/>
        <v>1270</v>
      </c>
    </row>
    <row r="6" spans="1:7" x14ac:dyDescent="0.3">
      <c r="A6" t="s">
        <v>5</v>
      </c>
      <c r="B6" s="1">
        <v>43101</v>
      </c>
      <c r="C6" t="s">
        <v>17</v>
      </c>
      <c r="D6" t="s">
        <v>6</v>
      </c>
      <c r="E6">
        <v>33</v>
      </c>
      <c r="F6">
        <v>2</v>
      </c>
      <c r="G6">
        <f t="shared" si="0"/>
        <v>66</v>
      </c>
    </row>
    <row r="7" spans="1:7" x14ac:dyDescent="0.3">
      <c r="A7" t="s">
        <v>7</v>
      </c>
      <c r="B7" s="1">
        <v>43101</v>
      </c>
      <c r="C7" t="s">
        <v>18</v>
      </c>
      <c r="D7" t="s">
        <v>8</v>
      </c>
      <c r="E7">
        <v>133</v>
      </c>
      <c r="F7">
        <v>11</v>
      </c>
      <c r="G7">
        <f t="shared" si="0"/>
        <v>1463</v>
      </c>
    </row>
    <row r="8" spans="1:7" x14ac:dyDescent="0.3">
      <c r="A8" t="s">
        <v>7</v>
      </c>
      <c r="B8" s="1">
        <v>43101</v>
      </c>
      <c r="C8" t="s">
        <v>18</v>
      </c>
      <c r="D8" t="s">
        <v>8</v>
      </c>
      <c r="E8">
        <v>194</v>
      </c>
      <c r="F8">
        <v>10</v>
      </c>
      <c r="G8">
        <f t="shared" si="0"/>
        <v>1940</v>
      </c>
    </row>
    <row r="9" spans="1:7" x14ac:dyDescent="0.3">
      <c r="A9" t="s">
        <v>7</v>
      </c>
      <c r="B9" s="1">
        <v>43101</v>
      </c>
      <c r="C9" t="s">
        <v>18</v>
      </c>
      <c r="D9" t="s">
        <v>8</v>
      </c>
      <c r="E9">
        <v>160</v>
      </c>
      <c r="F9">
        <v>11</v>
      </c>
      <c r="G9">
        <f t="shared" si="0"/>
        <v>1760</v>
      </c>
    </row>
    <row r="10" spans="1:7" x14ac:dyDescent="0.3">
      <c r="A10" t="s">
        <v>9</v>
      </c>
      <c r="B10" s="1">
        <v>43101</v>
      </c>
      <c r="C10" t="s">
        <v>17</v>
      </c>
      <c r="D10" t="s">
        <v>10</v>
      </c>
      <c r="E10">
        <v>118</v>
      </c>
      <c r="F10">
        <v>9</v>
      </c>
      <c r="G10">
        <f t="shared" si="0"/>
        <v>1062</v>
      </c>
    </row>
    <row r="11" spans="1:7" x14ac:dyDescent="0.3">
      <c r="A11" t="s">
        <v>9</v>
      </c>
      <c r="B11" s="1">
        <v>43101</v>
      </c>
      <c r="C11" t="s">
        <v>17</v>
      </c>
      <c r="D11" t="s">
        <v>11</v>
      </c>
      <c r="E11">
        <v>120</v>
      </c>
      <c r="F11">
        <v>15</v>
      </c>
      <c r="G11">
        <f t="shared" si="0"/>
        <v>1800</v>
      </c>
    </row>
    <row r="12" spans="1:7" x14ac:dyDescent="0.3">
      <c r="A12" t="s">
        <v>12</v>
      </c>
      <c r="B12" s="1">
        <v>43101</v>
      </c>
      <c r="C12" t="s">
        <v>18</v>
      </c>
      <c r="D12" t="s">
        <v>8</v>
      </c>
      <c r="E12">
        <v>57</v>
      </c>
      <c r="F12">
        <v>4</v>
      </c>
      <c r="G12">
        <f t="shared" si="0"/>
        <v>228</v>
      </c>
    </row>
    <row r="13" spans="1:7" x14ac:dyDescent="0.3">
      <c r="A13" t="s">
        <v>12</v>
      </c>
      <c r="B13" s="1">
        <v>43101</v>
      </c>
      <c r="C13" t="s">
        <v>18</v>
      </c>
      <c r="D13" t="s">
        <v>13</v>
      </c>
      <c r="E13">
        <v>48</v>
      </c>
      <c r="F13">
        <v>6</v>
      </c>
      <c r="G13">
        <f t="shared" si="0"/>
        <v>288</v>
      </c>
    </row>
    <row r="14" spans="1:7" x14ac:dyDescent="0.3">
      <c r="A14" t="s">
        <v>12</v>
      </c>
      <c r="B14" s="1">
        <v>43101</v>
      </c>
      <c r="C14" t="s">
        <v>18</v>
      </c>
      <c r="D14" t="s">
        <v>8</v>
      </c>
      <c r="E14">
        <v>36</v>
      </c>
      <c r="F14">
        <v>5</v>
      </c>
      <c r="G14">
        <f t="shared" si="0"/>
        <v>180</v>
      </c>
    </row>
    <row r="15" spans="1:7" x14ac:dyDescent="0.3">
      <c r="A15" t="s">
        <v>12</v>
      </c>
      <c r="B15" s="1">
        <v>43101</v>
      </c>
      <c r="C15" t="s">
        <v>18</v>
      </c>
      <c r="D15" t="s">
        <v>8</v>
      </c>
      <c r="E15">
        <v>143</v>
      </c>
      <c r="F15">
        <v>23</v>
      </c>
      <c r="G15">
        <f t="shared" si="0"/>
        <v>3289</v>
      </c>
    </row>
    <row r="16" spans="1:7" x14ac:dyDescent="0.3">
      <c r="A16" t="s">
        <v>12</v>
      </c>
      <c r="B16" s="1">
        <v>43101</v>
      </c>
      <c r="C16" t="s">
        <v>18</v>
      </c>
      <c r="D16" t="s">
        <v>8</v>
      </c>
      <c r="E16">
        <v>83</v>
      </c>
      <c r="F16">
        <v>2</v>
      </c>
      <c r="G16">
        <f t="shared" si="0"/>
        <v>166</v>
      </c>
    </row>
    <row r="17" spans="1:7" x14ac:dyDescent="0.3">
      <c r="A17" t="s">
        <v>5</v>
      </c>
      <c r="B17" s="2">
        <v>43102</v>
      </c>
      <c r="C17" t="s">
        <v>17</v>
      </c>
      <c r="D17" t="s">
        <v>11</v>
      </c>
      <c r="E17">
        <v>111</v>
      </c>
      <c r="F17">
        <v>8</v>
      </c>
      <c r="G17">
        <f t="shared" si="0"/>
        <v>888</v>
      </c>
    </row>
    <row r="18" spans="1:7" x14ac:dyDescent="0.3">
      <c r="A18" t="s">
        <v>5</v>
      </c>
      <c r="B18" s="2">
        <v>43102</v>
      </c>
      <c r="C18" t="s">
        <v>17</v>
      </c>
      <c r="D18" t="s">
        <v>11</v>
      </c>
      <c r="E18">
        <v>101</v>
      </c>
      <c r="F18">
        <v>12</v>
      </c>
      <c r="G18">
        <f t="shared" si="0"/>
        <v>1212</v>
      </c>
    </row>
    <row r="19" spans="1:7" x14ac:dyDescent="0.3">
      <c r="A19" t="s">
        <v>5</v>
      </c>
      <c r="B19" s="2">
        <v>43102</v>
      </c>
      <c r="C19" t="s">
        <v>17</v>
      </c>
      <c r="D19" t="s">
        <v>11</v>
      </c>
      <c r="E19">
        <v>165</v>
      </c>
      <c r="F19">
        <v>11</v>
      </c>
      <c r="G19">
        <f t="shared" si="0"/>
        <v>1815</v>
      </c>
    </row>
    <row r="20" spans="1:7" x14ac:dyDescent="0.3">
      <c r="A20" t="s">
        <v>9</v>
      </c>
      <c r="B20" s="2">
        <v>43102</v>
      </c>
      <c r="C20" t="s">
        <v>17</v>
      </c>
      <c r="D20" t="s">
        <v>11</v>
      </c>
      <c r="E20">
        <v>149</v>
      </c>
      <c r="F20">
        <v>8</v>
      </c>
      <c r="G20">
        <f t="shared" si="0"/>
        <v>1192</v>
      </c>
    </row>
    <row r="21" spans="1:7" x14ac:dyDescent="0.3">
      <c r="A21" t="s">
        <v>9</v>
      </c>
      <c r="B21" s="2">
        <v>43102</v>
      </c>
      <c r="C21" t="s">
        <v>17</v>
      </c>
      <c r="D21" t="s">
        <v>10</v>
      </c>
      <c r="E21">
        <v>32</v>
      </c>
      <c r="F21">
        <v>4</v>
      </c>
      <c r="G21">
        <f t="shared" si="0"/>
        <v>128</v>
      </c>
    </row>
    <row r="22" spans="1:7" x14ac:dyDescent="0.3">
      <c r="A22" t="s">
        <v>9</v>
      </c>
      <c r="B22" s="2">
        <v>43102</v>
      </c>
      <c r="C22" t="s">
        <v>17</v>
      </c>
      <c r="D22" t="s">
        <v>11</v>
      </c>
      <c r="E22">
        <v>199</v>
      </c>
      <c r="F22">
        <v>10</v>
      </c>
      <c r="G22">
        <f t="shared" si="0"/>
        <v>1990</v>
      </c>
    </row>
    <row r="23" spans="1:7" x14ac:dyDescent="0.3">
      <c r="A23" t="s">
        <v>7</v>
      </c>
      <c r="B23" s="2">
        <v>43102</v>
      </c>
      <c r="C23" t="s">
        <v>18</v>
      </c>
      <c r="D23" t="s">
        <v>14</v>
      </c>
      <c r="E23">
        <v>126</v>
      </c>
      <c r="F23">
        <v>12</v>
      </c>
      <c r="G23">
        <f t="shared" si="0"/>
        <v>1512</v>
      </c>
    </row>
    <row r="24" spans="1:7" x14ac:dyDescent="0.3">
      <c r="A24" t="s">
        <v>7</v>
      </c>
      <c r="B24" s="2">
        <v>43102</v>
      </c>
      <c r="C24" t="s">
        <v>18</v>
      </c>
      <c r="D24" t="s">
        <v>14</v>
      </c>
      <c r="E24">
        <v>30</v>
      </c>
      <c r="F24">
        <v>5</v>
      </c>
      <c r="G24">
        <f t="shared" si="0"/>
        <v>150</v>
      </c>
    </row>
    <row r="25" spans="1:7" x14ac:dyDescent="0.3">
      <c r="A25" t="s">
        <v>7</v>
      </c>
      <c r="B25" s="2">
        <v>43102</v>
      </c>
      <c r="C25" t="s">
        <v>18</v>
      </c>
      <c r="D25" t="s">
        <v>8</v>
      </c>
      <c r="E25">
        <v>149</v>
      </c>
      <c r="F25">
        <v>8</v>
      </c>
      <c r="G25">
        <f t="shared" si="0"/>
        <v>1192</v>
      </c>
    </row>
    <row r="26" spans="1:7" x14ac:dyDescent="0.3">
      <c r="A26" t="s">
        <v>7</v>
      </c>
      <c r="B26" s="2">
        <v>43102</v>
      </c>
      <c r="C26" t="s">
        <v>18</v>
      </c>
      <c r="D26" t="s">
        <v>15</v>
      </c>
      <c r="E26">
        <v>134</v>
      </c>
      <c r="F26">
        <v>7</v>
      </c>
      <c r="G26">
        <f t="shared" si="0"/>
        <v>938</v>
      </c>
    </row>
    <row r="27" spans="1:7" x14ac:dyDescent="0.3">
      <c r="A27" t="s">
        <v>7</v>
      </c>
      <c r="B27" s="2">
        <v>43102</v>
      </c>
      <c r="C27" t="s">
        <v>18</v>
      </c>
      <c r="D27" t="s">
        <v>14</v>
      </c>
      <c r="E27">
        <v>73</v>
      </c>
      <c r="F27">
        <v>12</v>
      </c>
      <c r="G27">
        <f t="shared" si="0"/>
        <v>876</v>
      </c>
    </row>
    <row r="28" spans="1:7" x14ac:dyDescent="0.3">
      <c r="A28" t="s">
        <v>7</v>
      </c>
      <c r="B28" s="2">
        <v>43102</v>
      </c>
      <c r="C28" t="s">
        <v>18</v>
      </c>
      <c r="D28" t="s">
        <v>14</v>
      </c>
      <c r="E28">
        <v>29</v>
      </c>
      <c r="F28">
        <v>3</v>
      </c>
      <c r="G28">
        <f t="shared" si="0"/>
        <v>87</v>
      </c>
    </row>
    <row r="29" spans="1:7" x14ac:dyDescent="0.3">
      <c r="A29" t="s">
        <v>12</v>
      </c>
      <c r="B29" s="2">
        <v>43102</v>
      </c>
      <c r="C29" t="s">
        <v>18</v>
      </c>
      <c r="D29" t="s">
        <v>14</v>
      </c>
      <c r="E29">
        <v>183</v>
      </c>
      <c r="F29">
        <v>18</v>
      </c>
      <c r="G29">
        <f t="shared" si="0"/>
        <v>3294</v>
      </c>
    </row>
    <row r="30" spans="1:7" x14ac:dyDescent="0.3">
      <c r="A30" t="s">
        <v>12</v>
      </c>
      <c r="B30" s="2">
        <v>43102</v>
      </c>
      <c r="C30" t="s">
        <v>18</v>
      </c>
      <c r="D30" t="s">
        <v>14</v>
      </c>
      <c r="E30">
        <v>95</v>
      </c>
      <c r="F30">
        <v>9</v>
      </c>
      <c r="G30">
        <f t="shared" si="0"/>
        <v>855</v>
      </c>
    </row>
    <row r="31" spans="1:7" x14ac:dyDescent="0.3">
      <c r="A31" t="s">
        <v>12</v>
      </c>
      <c r="B31" s="2">
        <v>43102</v>
      </c>
      <c r="C31" t="s">
        <v>18</v>
      </c>
      <c r="D31" t="s">
        <v>14</v>
      </c>
      <c r="E31">
        <v>31</v>
      </c>
      <c r="F31">
        <v>4</v>
      </c>
      <c r="G31">
        <f t="shared" si="0"/>
        <v>124</v>
      </c>
    </row>
    <row r="32" spans="1:7" x14ac:dyDescent="0.3">
      <c r="A32" t="s">
        <v>12</v>
      </c>
      <c r="B32" s="2">
        <v>43102</v>
      </c>
      <c r="C32" t="s">
        <v>18</v>
      </c>
      <c r="D32" t="s">
        <v>13</v>
      </c>
      <c r="E32">
        <v>39</v>
      </c>
      <c r="F32">
        <v>2</v>
      </c>
      <c r="G32">
        <f t="shared" si="0"/>
        <v>78</v>
      </c>
    </row>
    <row r="33" spans="1:7" x14ac:dyDescent="0.3">
      <c r="A33" t="s">
        <v>12</v>
      </c>
      <c r="B33" s="2">
        <v>43102</v>
      </c>
      <c r="C33" t="s">
        <v>18</v>
      </c>
      <c r="D33" t="s">
        <v>8</v>
      </c>
      <c r="E33">
        <v>42</v>
      </c>
      <c r="F33">
        <v>7</v>
      </c>
      <c r="G33">
        <f t="shared" si="0"/>
        <v>294</v>
      </c>
    </row>
    <row r="34" spans="1:7" x14ac:dyDescent="0.3">
      <c r="A34" t="s">
        <v>5</v>
      </c>
      <c r="B34" s="2">
        <v>43103</v>
      </c>
      <c r="C34" t="s">
        <v>17</v>
      </c>
      <c r="D34" t="s">
        <v>10</v>
      </c>
      <c r="E34">
        <v>138</v>
      </c>
      <c r="F34">
        <v>11</v>
      </c>
      <c r="G34">
        <f t="shared" si="0"/>
        <v>1518</v>
      </c>
    </row>
    <row r="35" spans="1:7" x14ac:dyDescent="0.3">
      <c r="A35" t="s">
        <v>7</v>
      </c>
      <c r="B35" s="2">
        <v>43103</v>
      </c>
      <c r="C35" t="s">
        <v>18</v>
      </c>
      <c r="D35" t="s">
        <v>14</v>
      </c>
      <c r="E35">
        <v>197</v>
      </c>
      <c r="F35">
        <v>16</v>
      </c>
      <c r="G35">
        <f t="shared" si="0"/>
        <v>3152</v>
      </c>
    </row>
    <row r="36" spans="1:7" x14ac:dyDescent="0.3">
      <c r="A36" t="s">
        <v>7</v>
      </c>
      <c r="B36" s="2">
        <v>43103</v>
      </c>
      <c r="C36" t="s">
        <v>18</v>
      </c>
      <c r="D36" t="s">
        <v>14</v>
      </c>
      <c r="E36">
        <v>98</v>
      </c>
      <c r="F36">
        <v>11</v>
      </c>
      <c r="G36">
        <f t="shared" si="0"/>
        <v>1078</v>
      </c>
    </row>
    <row r="37" spans="1:7" x14ac:dyDescent="0.3">
      <c r="A37" t="s">
        <v>12</v>
      </c>
      <c r="B37" s="2">
        <v>43103</v>
      </c>
      <c r="C37" t="s">
        <v>18</v>
      </c>
      <c r="D37" t="s">
        <v>15</v>
      </c>
      <c r="E37">
        <v>117</v>
      </c>
      <c r="F37">
        <v>9</v>
      </c>
      <c r="G37">
        <f t="shared" si="0"/>
        <v>1053</v>
      </c>
    </row>
    <row r="38" spans="1:7" x14ac:dyDescent="0.3">
      <c r="A38" t="s">
        <v>12</v>
      </c>
      <c r="B38" s="2">
        <v>43103</v>
      </c>
      <c r="C38" t="s">
        <v>18</v>
      </c>
      <c r="D38" t="s">
        <v>14</v>
      </c>
      <c r="E38">
        <v>80</v>
      </c>
      <c r="F38">
        <v>9</v>
      </c>
      <c r="G38">
        <f t="shared" si="0"/>
        <v>720</v>
      </c>
    </row>
    <row r="39" spans="1:7" x14ac:dyDescent="0.3">
      <c r="A39" t="s">
        <v>12</v>
      </c>
      <c r="B39" s="2">
        <v>43103</v>
      </c>
      <c r="C39" t="s">
        <v>18</v>
      </c>
      <c r="D39" t="s">
        <v>14</v>
      </c>
      <c r="E39">
        <v>121</v>
      </c>
      <c r="F39">
        <v>10</v>
      </c>
      <c r="G39">
        <f t="shared" si="0"/>
        <v>1210</v>
      </c>
    </row>
    <row r="40" spans="1:7" x14ac:dyDescent="0.3">
      <c r="A40" t="s">
        <v>9</v>
      </c>
      <c r="B40" s="2">
        <v>43103</v>
      </c>
      <c r="C40" t="s">
        <v>17</v>
      </c>
      <c r="D40" t="s">
        <v>11</v>
      </c>
      <c r="E40">
        <v>149</v>
      </c>
      <c r="F40">
        <v>8</v>
      </c>
      <c r="G40">
        <f t="shared" si="0"/>
        <v>1192</v>
      </c>
    </row>
    <row r="41" spans="1:7" x14ac:dyDescent="0.3">
      <c r="A41" t="s">
        <v>9</v>
      </c>
      <c r="B41" s="2">
        <v>43103</v>
      </c>
      <c r="C41" t="s">
        <v>17</v>
      </c>
      <c r="D41" t="s">
        <v>10</v>
      </c>
      <c r="E41">
        <v>32</v>
      </c>
      <c r="F41">
        <v>6</v>
      </c>
      <c r="G41">
        <f t="shared" si="0"/>
        <v>192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</vt:lpstr>
      <vt:lpstr>Q1</vt:lpstr>
      <vt:lpstr>Q2</vt:lpstr>
      <vt:lpstr>Q3</vt:lpstr>
      <vt:lpstr>Q4</vt:lpstr>
      <vt:lpstr>Sheet2</vt:lpstr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Uperti, Inderjeet</dc:creator>
  <cp:lastModifiedBy>surjeet yadav</cp:lastModifiedBy>
  <dcterms:created xsi:type="dcterms:W3CDTF">2019-07-02T09:40:50Z</dcterms:created>
  <dcterms:modified xsi:type="dcterms:W3CDTF">2023-10-22T14:53:02Z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