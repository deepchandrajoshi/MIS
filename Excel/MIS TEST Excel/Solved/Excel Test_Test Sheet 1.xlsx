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Deep\Documents\Excel Backup\"/>
    </mc:Choice>
  </mc:AlternateContent>
  <xr:revisionPtr revIDLastSave="0" documentId="8_{290F7FD2-6198-4F70-908D-C41BAC480EB5}" xr6:coauthVersionLast="47" xr6:coauthVersionMax="47" xr10:uidLastSave="{00000000-0000-0000-0000-000000000000}"/>
  <bookViews>
    <workbookView xWindow="-120" yWindow="-120" windowWidth="20730" windowHeight="11160" tabRatio="623" activeTab="1" xr2:uid="{00000000-000D-0000-FFFF-FFFF00000000}"/>
  </bookViews>
  <sheets>
    <sheet name="Details" sheetId="1" r:id="rId1"/>
    <sheet name="Q1" sheetId="2" r:id="rId2"/>
    <sheet name="Q2" sheetId="3" r:id="rId3"/>
    <sheet name="Q3" sheetId="4" r:id="rId4"/>
    <sheet name="Q4" sheetId="5" r:id="rId5"/>
    <sheet name="Q5" sheetId="6" r:id="rId6"/>
    <sheet name="Q6" sheetId="7" r:id="rId7"/>
    <sheet name="Q7" sheetId="8" r:id="rId8"/>
    <sheet name="Q8" sheetId="23" r:id="rId9"/>
    <sheet name="Q9" sheetId="11" r:id="rId10"/>
    <sheet name="Q10" sheetId="24" r:id="rId11"/>
    <sheet name="Q11" sheetId="12" r:id="rId12"/>
    <sheet name="logical" sheetId="25" r:id="rId13"/>
  </sheets>
  <definedNames>
    <definedName name="_xlnm._FilterDatabase" localSheetId="1" hidden="1">'Q1'!$C$7</definedName>
    <definedName name="_xlnm._FilterDatabase" localSheetId="10" hidden="1">'Q10'!$C$7:$E$7</definedName>
  </definedNames>
  <calcPr calcId="191029"/>
  <pivotCaches>
    <pivotCache cacheId="0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2" l="1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9" i="2"/>
  <c r="K2" i="12"/>
  <c r="C11" i="1" s="1"/>
  <c r="I11" i="1" s="1"/>
  <c r="L11" i="1" s="1"/>
  <c r="B11" i="12" l="1"/>
  <c r="B13" i="12" s="1"/>
  <c r="B15" i="12" s="1"/>
  <c r="B17" i="12" s="1"/>
  <c r="B19" i="12" s="1"/>
  <c r="B21" i="12" s="1"/>
  <c r="B23" i="12" s="1"/>
  <c r="B25" i="12" s="1"/>
  <c r="B27" i="12" s="1"/>
  <c r="D24" i="4" l="1"/>
  <c r="D24" i="5"/>
</calcChain>
</file>

<file path=xl/sharedStrings.xml><?xml version="1.0" encoding="utf-8"?>
<sst xmlns="http://schemas.openxmlformats.org/spreadsheetml/2006/main" count="1282" uniqueCount="327">
  <si>
    <t>Name</t>
  </si>
  <si>
    <t>Date</t>
  </si>
  <si>
    <t>Place</t>
  </si>
  <si>
    <t>Note:</t>
  </si>
  <si>
    <r>
      <t xml:space="preserve">Answers to be given in cells highlighted in </t>
    </r>
    <r>
      <rPr>
        <sz val="11"/>
        <color rgb="FF00B0F0"/>
        <rFont val="Calibri"/>
        <family val="2"/>
        <scheme val="minor"/>
      </rPr>
      <t>Blue</t>
    </r>
    <r>
      <rPr>
        <sz val="11"/>
        <color theme="1"/>
        <rFont val="Calibri"/>
        <family val="2"/>
        <scheme val="minor"/>
      </rPr>
      <t xml:space="preserve"> only</t>
    </r>
  </si>
  <si>
    <t>Q1</t>
  </si>
  <si>
    <t>Do not Paste-Special formulas to Values</t>
  </si>
  <si>
    <t>Table 1</t>
  </si>
  <si>
    <t>State</t>
  </si>
  <si>
    <t>Abr.</t>
  </si>
  <si>
    <t>Year of statehood</t>
  </si>
  <si>
    <t>Capital</t>
  </si>
  <si>
    <t>Capital since</t>
  </si>
  <si>
    <t>Land area (mi²)</t>
  </si>
  <si>
    <t>Most populous city?</t>
  </si>
  <si>
    <t>Municipal population</t>
  </si>
  <si>
    <t>Metropolitan population</t>
  </si>
  <si>
    <t>Alabama</t>
  </si>
  <si>
    <t>AL</t>
  </si>
  <si>
    <t>Montgomery</t>
  </si>
  <si>
    <t>No</t>
  </si>
  <si>
    <t>Alaska</t>
  </si>
  <si>
    <t>AK</t>
  </si>
  <si>
    <t>Juneau</t>
  </si>
  <si>
    <t>Arizona</t>
  </si>
  <si>
    <t>AZ</t>
  </si>
  <si>
    <t>Phoenix</t>
  </si>
  <si>
    <t>Yes</t>
  </si>
  <si>
    <t>Arkansas</t>
  </si>
  <si>
    <t>AR</t>
  </si>
  <si>
    <t>Little Rock</t>
  </si>
  <si>
    <t>California</t>
  </si>
  <si>
    <t>CA</t>
  </si>
  <si>
    <t>Sacramento</t>
  </si>
  <si>
    <t>Colorado</t>
  </si>
  <si>
    <t>CO</t>
  </si>
  <si>
    <t>Denver</t>
  </si>
  <si>
    <t>Connecticut</t>
  </si>
  <si>
    <t>CT</t>
  </si>
  <si>
    <t>Hartford</t>
  </si>
  <si>
    <t>Delaware</t>
  </si>
  <si>
    <t>DE</t>
  </si>
  <si>
    <t>Dover</t>
  </si>
  <si>
    <t>Florida</t>
  </si>
  <si>
    <t>FL</t>
  </si>
  <si>
    <t>Tallahassee</t>
  </si>
  <si>
    <t>Georgia</t>
  </si>
  <si>
    <t>GA</t>
  </si>
  <si>
    <t>Atlanta</t>
  </si>
  <si>
    <t>Hawaii</t>
  </si>
  <si>
    <t>HI</t>
  </si>
  <si>
    <t>Honolulu</t>
  </si>
  <si>
    <t>Idaho</t>
  </si>
  <si>
    <t>ID</t>
  </si>
  <si>
    <t>Boise</t>
  </si>
  <si>
    <t>Illinois</t>
  </si>
  <si>
    <t>IL</t>
  </si>
  <si>
    <t>Springfield</t>
  </si>
  <si>
    <t>Indiana</t>
  </si>
  <si>
    <t>IN</t>
  </si>
  <si>
    <t>Indianapolis</t>
  </si>
  <si>
    <t>Iowa</t>
  </si>
  <si>
    <t>IA</t>
  </si>
  <si>
    <t>Des Moines</t>
  </si>
  <si>
    <t>Kansas</t>
  </si>
  <si>
    <t>KS</t>
  </si>
  <si>
    <t>Topeka</t>
  </si>
  <si>
    <t>Kentucky</t>
  </si>
  <si>
    <t>KY</t>
  </si>
  <si>
    <t>Frankfort</t>
  </si>
  <si>
    <t>Louisiana</t>
  </si>
  <si>
    <t>LA</t>
  </si>
  <si>
    <t>Baton Rouge</t>
  </si>
  <si>
    <t>Maine</t>
  </si>
  <si>
    <t>ME</t>
  </si>
  <si>
    <t>Augusta</t>
  </si>
  <si>
    <t>Maryland</t>
  </si>
  <si>
    <t>MD</t>
  </si>
  <si>
    <t>Annapolis</t>
  </si>
  <si>
    <t>Massachusetts</t>
  </si>
  <si>
    <t>MA</t>
  </si>
  <si>
    <t>Boston</t>
  </si>
  <si>
    <t>Michigan</t>
  </si>
  <si>
    <t>MI</t>
  </si>
  <si>
    <t>Lansing</t>
  </si>
  <si>
    <t>Minnesota</t>
  </si>
  <si>
    <t>MN</t>
  </si>
  <si>
    <t>Saint Paul</t>
  </si>
  <si>
    <t>Mississippi</t>
  </si>
  <si>
    <t>MS</t>
  </si>
  <si>
    <t>Jackson</t>
  </si>
  <si>
    <t>Missouri</t>
  </si>
  <si>
    <t>MO</t>
  </si>
  <si>
    <t>Jefferson City</t>
  </si>
  <si>
    <t>Montana</t>
  </si>
  <si>
    <t>MT</t>
  </si>
  <si>
    <t>Helena</t>
  </si>
  <si>
    <t>Nebraska</t>
  </si>
  <si>
    <t>NE</t>
  </si>
  <si>
    <t>Lincoln</t>
  </si>
  <si>
    <t>Nevada</t>
  </si>
  <si>
    <t>NV</t>
  </si>
  <si>
    <t>Carson City</t>
  </si>
  <si>
    <t>New Hampshire</t>
  </si>
  <si>
    <t>NH</t>
  </si>
  <si>
    <t>Concord</t>
  </si>
  <si>
    <t>New Jersey</t>
  </si>
  <si>
    <t>NJ</t>
  </si>
  <si>
    <t>Trenton</t>
  </si>
  <si>
    <t>New Mexico</t>
  </si>
  <si>
    <t>NM</t>
  </si>
  <si>
    <t>Santa Fe</t>
  </si>
  <si>
    <t>New York</t>
  </si>
  <si>
    <t>NY</t>
  </si>
  <si>
    <t>Albany</t>
  </si>
  <si>
    <t>North Carolina</t>
  </si>
  <si>
    <t>NC</t>
  </si>
  <si>
    <t>Raleigh</t>
  </si>
  <si>
    <t>North Dakota</t>
  </si>
  <si>
    <t>ND</t>
  </si>
  <si>
    <t>Bismarck</t>
  </si>
  <si>
    <t>Ohio</t>
  </si>
  <si>
    <t>OH</t>
  </si>
  <si>
    <t>Columbus</t>
  </si>
  <si>
    <t>Oklahoma</t>
  </si>
  <si>
    <t>OK</t>
  </si>
  <si>
    <t>Oklahoma City</t>
  </si>
  <si>
    <t>Oregon</t>
  </si>
  <si>
    <t>OR</t>
  </si>
  <si>
    <t>Salem</t>
  </si>
  <si>
    <t>Pennsylvania</t>
  </si>
  <si>
    <t>PA</t>
  </si>
  <si>
    <t>Harrisburg</t>
  </si>
  <si>
    <t>Rhode Island</t>
  </si>
  <si>
    <t>RI</t>
  </si>
  <si>
    <t>Providence</t>
  </si>
  <si>
    <t>South Carolina</t>
  </si>
  <si>
    <t>SC</t>
  </si>
  <si>
    <t>Columbia</t>
  </si>
  <si>
    <t>South Dakota</t>
  </si>
  <si>
    <t>SD</t>
  </si>
  <si>
    <t>Pierre</t>
  </si>
  <si>
    <t>Tennessee</t>
  </si>
  <si>
    <t>TN</t>
  </si>
  <si>
    <t>Nashville</t>
  </si>
  <si>
    <t>Texas</t>
  </si>
  <si>
    <t>TX</t>
  </si>
  <si>
    <t>Austin</t>
  </si>
  <si>
    <t>Utah</t>
  </si>
  <si>
    <t>UT</t>
  </si>
  <si>
    <t>Salt Lake City</t>
  </si>
  <si>
    <t>Vermont</t>
  </si>
  <si>
    <t>VT</t>
  </si>
  <si>
    <t>Montpelier</t>
  </si>
  <si>
    <t>Virginia</t>
  </si>
  <si>
    <t>VA</t>
  </si>
  <si>
    <t>Richmond</t>
  </si>
  <si>
    <t>Washington</t>
  </si>
  <si>
    <t>WA</t>
  </si>
  <si>
    <t>Olympia</t>
  </si>
  <si>
    <t>West Virginia</t>
  </si>
  <si>
    <t>WV</t>
  </si>
  <si>
    <t>Charleston</t>
  </si>
  <si>
    <t>Wisconsin</t>
  </si>
  <si>
    <t>WI</t>
  </si>
  <si>
    <t>Madison</t>
  </si>
  <si>
    <t>Wyoming</t>
  </si>
  <si>
    <t>WY</t>
  </si>
  <si>
    <t>Cheyenne</t>
  </si>
  <si>
    <t>Table 2</t>
  </si>
  <si>
    <t>Note:- Put the formula in blue cells</t>
  </si>
  <si>
    <t>2 Marks</t>
  </si>
  <si>
    <t>Use Vlookup formula to get the Capital of State in Table 1 from Table 2</t>
  </si>
  <si>
    <t>Use Index formula to get the State of Capital in Table 1 from Table 2</t>
  </si>
  <si>
    <t>Q2</t>
  </si>
  <si>
    <t>Count of States</t>
  </si>
  <si>
    <t>Use Countif formula to get the Count of states in "Year of Statehood" in Table 1 from Table 2</t>
  </si>
  <si>
    <t>Q3</t>
  </si>
  <si>
    <t>Use Sumif formula to get the Total Land area (mi²) of states in "Year of Statehood" in Table 1 from Table 2</t>
  </si>
  <si>
    <t>Total Land area (mi²)</t>
  </si>
  <si>
    <t>Q4</t>
  </si>
  <si>
    <t>Agent Name</t>
  </si>
  <si>
    <t>No. of Days Present</t>
  </si>
  <si>
    <t>No. of Days Absent</t>
  </si>
  <si>
    <t>Total Days 
(Present + Absent)</t>
  </si>
  <si>
    <t>Eloy Herbst</t>
  </si>
  <si>
    <t>Cedric Midgette</t>
  </si>
  <si>
    <t>Lyman Kehr</t>
  </si>
  <si>
    <t>Darwin Kitchell</t>
  </si>
  <si>
    <t>Dylan Matley</t>
  </si>
  <si>
    <t>Miranda Moisan</t>
  </si>
  <si>
    <t>Corinne Fairbank</t>
  </si>
  <si>
    <t>Beckie Paquin</t>
  </si>
  <si>
    <t>Karen Geist</t>
  </si>
  <si>
    <t>Helene Richins</t>
  </si>
  <si>
    <t>Kelley Messer</t>
  </si>
  <si>
    <t>Arline Bennett</t>
  </si>
  <si>
    <t>Hailey Callas</t>
  </si>
  <si>
    <t>Charita Lien</t>
  </si>
  <si>
    <t>Ashlee Torkelson</t>
  </si>
  <si>
    <t>Shae Heimbach</t>
  </si>
  <si>
    <t>Akilah Culler</t>
  </si>
  <si>
    <t>Albina Everman</t>
  </si>
  <si>
    <t>Pearle Podkowka</t>
  </si>
  <si>
    <t>Slyvia Meikle</t>
  </si>
  <si>
    <t>Calculate Attendance % of agents in Table 1.</t>
  </si>
  <si>
    <t>Attendance %</t>
  </si>
  <si>
    <t>Q5</t>
  </si>
  <si>
    <t>Present More &gt;= 20 Days</t>
  </si>
  <si>
    <t>Use IF formula to derive "YES" or "NO" in Table 1 by checking the number of days present &gt;=20 Days for each Agent</t>
  </si>
  <si>
    <t>Q6</t>
  </si>
  <si>
    <t>Present</t>
  </si>
  <si>
    <t>Absent</t>
  </si>
  <si>
    <t>Picture 1</t>
  </si>
  <si>
    <t>Note:- Create the Pivot in blue cells</t>
  </si>
  <si>
    <t>Create Pivot Table in existing worksheet Range("H23") using data in Table 1 to show day wise sum of Present count of Agents as shown in Picture 1</t>
  </si>
  <si>
    <t>Q7</t>
  </si>
  <si>
    <t>Points</t>
  </si>
  <si>
    <t>Conditions:</t>
  </si>
  <si>
    <t>Score &gt;=400</t>
  </si>
  <si>
    <t>Format</t>
  </si>
  <si>
    <t>Score 300-399</t>
  </si>
  <si>
    <t>Score</t>
  </si>
  <si>
    <t>Month</t>
  </si>
  <si>
    <t>Jan'14</t>
  </si>
  <si>
    <t>Score &lt;100</t>
  </si>
  <si>
    <t>Q8</t>
  </si>
  <si>
    <t>Apply Conditional formatting in Table 1 as per the given conditions. (As shown in Picture 1)</t>
  </si>
  <si>
    <t>Note:- Apply conditional formatting on Points in Table 1 (Blue Cells)</t>
  </si>
  <si>
    <t>Q9</t>
  </si>
  <si>
    <t>Jan Points</t>
  </si>
  <si>
    <t>Feb Points</t>
  </si>
  <si>
    <t>Create Column Chart with Values from Available data in Table 1 (As shown in Picture 1)</t>
  </si>
  <si>
    <t>Note:- Create the chart in blue cells</t>
  </si>
  <si>
    <t>Basic Formulas - Put the formulas in blue cells as per instructions</t>
  </si>
  <si>
    <t>5 Marks</t>
  </si>
  <si>
    <t>Q#</t>
  </si>
  <si>
    <t>Question</t>
  </si>
  <si>
    <t>Formula</t>
  </si>
  <si>
    <t>Value 1</t>
  </si>
  <si>
    <t>Value 2</t>
  </si>
  <si>
    <t>Value 3</t>
  </si>
  <si>
    <t>Count length of text in Value 1</t>
  </si>
  <si>
    <t>Sum of value 1, value 2, value 3</t>
  </si>
  <si>
    <t>Average of value 1, value 2, value 3</t>
  </si>
  <si>
    <t>Highest value among value 1, value 2, value 3</t>
  </si>
  <si>
    <t>Rank of Value 2 from the 3 values</t>
  </si>
  <si>
    <t>Last 8 letters of text in Value 1</t>
  </si>
  <si>
    <t>First 6 letters of text in Value 1</t>
  </si>
  <si>
    <t>Q10</t>
  </si>
  <si>
    <t>Check if Value 1 &amp; Value 2 are same (True/False)</t>
  </si>
  <si>
    <t xml:space="preserve">Find day of the week </t>
  </si>
  <si>
    <t>Round the value with 2 decimals</t>
  </si>
  <si>
    <t>Marks Obtained</t>
  </si>
  <si>
    <t>Out Of</t>
  </si>
  <si>
    <t>Score%</t>
  </si>
  <si>
    <t>Result</t>
  </si>
  <si>
    <t>Q11</t>
  </si>
  <si>
    <t>Age</t>
  </si>
  <si>
    <t>Age Range</t>
  </si>
  <si>
    <t>Age Cutoff</t>
  </si>
  <si>
    <t>18 or Below</t>
  </si>
  <si>
    <t>19 to 20 Years</t>
  </si>
  <si>
    <t>21 to 25 Years</t>
  </si>
  <si>
    <t>31 to 35 Years</t>
  </si>
  <si>
    <t>26 to 30 Years</t>
  </si>
  <si>
    <t>Above 35 Years</t>
  </si>
  <si>
    <t>Use Lookup formula to drive the age range of agents in Table 1 as per Range defined in Table 2</t>
  </si>
  <si>
    <t>--------</t>
  </si>
  <si>
    <t>Create Chart Here</t>
  </si>
  <si>
    <t>Test Paper</t>
  </si>
  <si>
    <t>WFM Questions</t>
  </si>
  <si>
    <t xml:space="preserve">In case, the AHT for a queue goes up in an interval, </t>
  </si>
  <si>
    <t>Aptitude</t>
  </si>
  <si>
    <r>
      <t>d.</t>
    </r>
    <r>
      <rPr>
        <sz val="7"/>
        <rFont val="Times New Roman"/>
        <family val="1"/>
      </rPr>
      <t xml:space="preserve">     </t>
    </r>
    <r>
      <rPr>
        <sz val="8"/>
        <rFont val="Verdana"/>
        <family val="2"/>
      </rPr>
      <t>90</t>
    </r>
  </si>
  <si>
    <r>
      <t>2.</t>
    </r>
    <r>
      <rPr>
        <sz val="7"/>
        <rFont val="Times New Roman"/>
        <family val="1"/>
      </rPr>
      <t xml:space="preserve">     </t>
    </r>
    <r>
      <rPr>
        <sz val="8"/>
        <rFont val="Verdana"/>
        <family val="2"/>
      </rPr>
      <t>AHT comprises of the following call components</t>
    </r>
  </si>
  <si>
    <r>
      <t>a.</t>
    </r>
    <r>
      <rPr>
        <sz val="7"/>
        <rFont val="Times New Roman"/>
        <family val="1"/>
      </rPr>
      <t xml:space="preserve">     </t>
    </r>
    <r>
      <rPr>
        <sz val="8"/>
        <rFont val="Verdana"/>
        <family val="2"/>
      </rPr>
      <t>In Talk Time, Wrap Time, Hold Time, Out Time</t>
    </r>
  </si>
  <si>
    <r>
      <t>b.</t>
    </r>
    <r>
      <rPr>
        <sz val="7"/>
        <rFont val="Times New Roman"/>
        <family val="1"/>
      </rPr>
      <t xml:space="preserve">     </t>
    </r>
    <r>
      <rPr>
        <sz val="8"/>
        <rFont val="Verdana"/>
        <family val="2"/>
      </rPr>
      <t>In Talk Time, Wrap Time, Other Time, Out Time</t>
    </r>
  </si>
  <si>
    <r>
      <t>c.</t>
    </r>
    <r>
      <rPr>
        <sz val="7"/>
        <rFont val="Times New Roman"/>
        <family val="1"/>
      </rPr>
      <t xml:space="preserve">     </t>
    </r>
    <r>
      <rPr>
        <sz val="8"/>
        <rFont val="Verdana"/>
        <family val="2"/>
      </rPr>
      <t>In Talk Time, Wrap Time, Hold Time</t>
    </r>
  </si>
  <si>
    <r>
      <t>d.</t>
    </r>
    <r>
      <rPr>
        <sz val="7"/>
        <rFont val="Times New Roman"/>
        <family val="1"/>
      </rPr>
      <t xml:space="preserve">     </t>
    </r>
    <r>
      <rPr>
        <sz val="8"/>
        <rFont val="Verdana"/>
        <family val="2"/>
      </rPr>
      <t>In Talk Time, Hold Time, Out Time</t>
    </r>
  </si>
  <si>
    <r>
      <t>a.</t>
    </r>
    <r>
      <rPr>
        <sz val="7"/>
        <rFont val="Times New Roman"/>
        <family val="1"/>
      </rPr>
      <t xml:space="preserve">     </t>
    </r>
    <r>
      <rPr>
        <sz val="8"/>
        <rFont val="Verdana"/>
        <family val="2"/>
      </rPr>
      <t>Actual Values/ Forecasted Values*100</t>
    </r>
  </si>
  <si>
    <r>
      <t>b.</t>
    </r>
    <r>
      <rPr>
        <sz val="7"/>
        <rFont val="Times New Roman"/>
        <family val="1"/>
      </rPr>
      <t xml:space="preserve">     </t>
    </r>
    <r>
      <rPr>
        <sz val="8"/>
        <rFont val="Verdana"/>
        <family val="2"/>
      </rPr>
      <t>1-(Forecasted Values/ Actual Values)*100</t>
    </r>
  </si>
  <si>
    <r>
      <t>c.</t>
    </r>
    <r>
      <rPr>
        <sz val="7"/>
        <rFont val="Times New Roman"/>
        <family val="1"/>
      </rPr>
      <t xml:space="preserve">     </t>
    </r>
    <r>
      <rPr>
        <sz val="8"/>
        <rFont val="Verdana"/>
        <family val="2"/>
      </rPr>
      <t>1-(Absolute Error/ Actual)*100</t>
    </r>
  </si>
  <si>
    <r>
      <t>d.</t>
    </r>
    <r>
      <rPr>
        <sz val="7"/>
        <rFont val="Times New Roman"/>
        <family val="1"/>
      </rPr>
      <t xml:space="preserve">     </t>
    </r>
    <r>
      <rPr>
        <sz val="8"/>
        <rFont val="Verdana"/>
        <family val="2"/>
      </rPr>
      <t xml:space="preserve"> None of the Above</t>
    </r>
  </si>
  <si>
    <r>
      <t>a.</t>
    </r>
    <r>
      <rPr>
        <sz val="7"/>
        <rFont val="Times New Roman"/>
        <family val="1"/>
      </rPr>
      <t xml:space="preserve">     </t>
    </r>
    <r>
      <rPr>
        <sz val="8"/>
        <rFont val="Verdana"/>
        <family val="2"/>
      </rPr>
      <t>Service Level and ASA would go up</t>
    </r>
  </si>
  <si>
    <r>
      <t>b.</t>
    </r>
    <r>
      <rPr>
        <sz val="7"/>
        <rFont val="Times New Roman"/>
        <family val="1"/>
      </rPr>
      <t xml:space="preserve">     </t>
    </r>
    <r>
      <rPr>
        <sz val="8"/>
        <rFont val="Verdana"/>
        <family val="2"/>
      </rPr>
      <t>Service Level will go down and ASA would go up</t>
    </r>
  </si>
  <si>
    <r>
      <t>c.</t>
    </r>
    <r>
      <rPr>
        <sz val="7"/>
        <rFont val="Times New Roman"/>
        <family val="1"/>
      </rPr>
      <t xml:space="preserve">     </t>
    </r>
    <r>
      <rPr>
        <sz val="8"/>
        <rFont val="Verdana"/>
        <family val="2"/>
      </rPr>
      <t>Service Level will not be affected but ASA will go down</t>
    </r>
  </si>
  <si>
    <r>
      <t>d.</t>
    </r>
    <r>
      <rPr>
        <sz val="7"/>
        <rFont val="Times New Roman"/>
        <family val="1"/>
      </rPr>
      <t xml:space="preserve">     </t>
    </r>
    <r>
      <rPr>
        <sz val="8"/>
        <rFont val="Verdana"/>
        <family val="2"/>
      </rPr>
      <t>Agent occupancy will go down</t>
    </r>
  </si>
  <si>
    <r>
      <t>a.</t>
    </r>
    <r>
      <rPr>
        <sz val="7"/>
        <rFont val="Times New Roman"/>
        <family val="1"/>
      </rPr>
      <t xml:space="preserve">     </t>
    </r>
    <r>
      <rPr>
        <sz val="8"/>
        <rFont val="Verdana"/>
        <family val="2"/>
      </rPr>
      <t>Yes</t>
    </r>
  </si>
  <si>
    <r>
      <t>b.</t>
    </r>
    <r>
      <rPr>
        <sz val="7"/>
        <rFont val="Times New Roman"/>
        <family val="1"/>
      </rPr>
      <t xml:space="preserve">     </t>
    </r>
    <r>
      <rPr>
        <sz val="8"/>
        <rFont val="Verdana"/>
        <family val="2"/>
      </rPr>
      <t>No</t>
    </r>
  </si>
  <si>
    <r>
      <t>c.</t>
    </r>
    <r>
      <rPr>
        <sz val="7"/>
        <rFont val="Times New Roman"/>
        <family val="1"/>
      </rPr>
      <t xml:space="preserve">     </t>
    </r>
    <r>
      <rPr>
        <sz val="8"/>
        <rFont val="Verdana"/>
        <family val="2"/>
      </rPr>
      <t>Depends on the scenario</t>
    </r>
  </si>
  <si>
    <r>
      <t>a.</t>
    </r>
    <r>
      <rPr>
        <sz val="7"/>
        <rFont val="Times New Roman"/>
        <family val="1"/>
      </rPr>
      <t xml:space="preserve">     </t>
    </r>
    <r>
      <rPr>
        <sz val="8"/>
        <rFont val="Verdana"/>
        <family val="2"/>
      </rPr>
      <t>Abandoned Calls/ Offered Calls</t>
    </r>
  </si>
  <si>
    <r>
      <t>b.</t>
    </r>
    <r>
      <rPr>
        <sz val="7"/>
        <rFont val="Times New Roman"/>
        <family val="1"/>
      </rPr>
      <t xml:space="preserve">     </t>
    </r>
    <r>
      <rPr>
        <sz val="8"/>
        <rFont val="Verdana"/>
        <family val="2"/>
      </rPr>
      <t>Abandoned Calls/ Handled Calls</t>
    </r>
  </si>
  <si>
    <r>
      <t>c.</t>
    </r>
    <r>
      <rPr>
        <sz val="7"/>
        <rFont val="Times New Roman"/>
        <family val="1"/>
      </rPr>
      <t xml:space="preserve">     </t>
    </r>
    <r>
      <rPr>
        <sz val="8"/>
        <rFont val="Verdana"/>
        <family val="2"/>
      </rPr>
      <t>(Calls Abandoned/ Calls Offered)* Service Level</t>
    </r>
  </si>
  <si>
    <r>
      <t>d.</t>
    </r>
    <r>
      <rPr>
        <sz val="7"/>
        <rFont val="Times New Roman"/>
        <family val="1"/>
      </rPr>
      <t xml:space="preserve">     </t>
    </r>
    <r>
      <rPr>
        <sz val="8"/>
        <rFont val="Verdana"/>
        <family val="2"/>
      </rPr>
      <t>None of the above</t>
    </r>
  </si>
  <si>
    <r>
      <t>a.</t>
    </r>
    <r>
      <rPr>
        <sz val="7"/>
        <rFont val="Times New Roman"/>
        <family val="1"/>
      </rPr>
      <t xml:space="preserve">     </t>
    </r>
    <r>
      <rPr>
        <sz val="8"/>
        <rFont val="Verdana"/>
        <family val="2"/>
      </rPr>
      <t>True</t>
    </r>
  </si>
  <si>
    <r>
      <t>b.</t>
    </r>
    <r>
      <rPr>
        <sz val="7"/>
        <rFont val="Times New Roman"/>
        <family val="1"/>
      </rPr>
      <t xml:space="preserve">     </t>
    </r>
    <r>
      <rPr>
        <sz val="8"/>
        <rFont val="Verdana"/>
        <family val="2"/>
      </rPr>
      <t>False, Staffing levels will have to be increased</t>
    </r>
  </si>
  <si>
    <r>
      <t>c.</t>
    </r>
    <r>
      <rPr>
        <sz val="7"/>
        <rFont val="Times New Roman"/>
        <family val="1"/>
      </rPr>
      <t xml:space="preserve">     </t>
    </r>
    <r>
      <rPr>
        <sz val="8"/>
        <rFont val="Verdana"/>
        <family val="2"/>
      </rPr>
      <t>False, Staffing levels will not have to be changed</t>
    </r>
  </si>
  <si>
    <r>
      <t>b.</t>
    </r>
    <r>
      <rPr>
        <sz val="7"/>
        <rFont val="Times New Roman"/>
        <family val="1"/>
      </rPr>
      <t xml:space="preserve">     </t>
    </r>
    <r>
      <rPr>
        <sz val="8"/>
        <rFont val="Verdana"/>
        <family val="2"/>
      </rPr>
      <t>False</t>
    </r>
  </si>
  <si>
    <r>
      <t>c.</t>
    </r>
    <r>
      <rPr>
        <sz val="7"/>
        <rFont val="Times New Roman"/>
        <family val="1"/>
      </rPr>
      <t xml:space="preserve">     </t>
    </r>
    <r>
      <rPr>
        <sz val="8"/>
        <rFont val="Verdana"/>
        <family val="2"/>
      </rPr>
      <t>Only if number of data points are less than the weights</t>
    </r>
  </si>
  <si>
    <r>
      <t>a.</t>
    </r>
    <r>
      <rPr>
        <sz val="7"/>
        <rFont val="Times New Roman"/>
        <family val="1"/>
      </rPr>
      <t xml:space="preserve">     </t>
    </r>
    <r>
      <rPr>
        <sz val="8"/>
        <rFont val="Verdana"/>
        <family val="2"/>
      </rPr>
      <t>25%</t>
    </r>
  </si>
  <si>
    <r>
      <t>b.</t>
    </r>
    <r>
      <rPr>
        <sz val="7"/>
        <rFont val="Times New Roman"/>
        <family val="1"/>
      </rPr>
      <t xml:space="preserve">     </t>
    </r>
    <r>
      <rPr>
        <sz val="8"/>
        <rFont val="Verdana"/>
        <family val="2"/>
      </rPr>
      <t>30%</t>
    </r>
  </si>
  <si>
    <r>
      <t>c.</t>
    </r>
    <r>
      <rPr>
        <sz val="7"/>
        <rFont val="Times New Roman"/>
        <family val="1"/>
      </rPr>
      <t xml:space="preserve">     </t>
    </r>
    <r>
      <rPr>
        <sz val="8"/>
        <rFont val="Verdana"/>
        <family val="2"/>
      </rPr>
      <t>20%</t>
    </r>
  </si>
  <si>
    <r>
      <t>d.</t>
    </r>
    <r>
      <rPr>
        <sz val="7"/>
        <rFont val="Times New Roman"/>
        <family val="1"/>
      </rPr>
      <t xml:space="preserve">     </t>
    </r>
    <r>
      <rPr>
        <sz val="8"/>
        <rFont val="Verdana"/>
        <family val="2"/>
      </rPr>
      <t>27.5%</t>
    </r>
  </si>
  <si>
    <r>
      <t>a.</t>
    </r>
    <r>
      <rPr>
        <sz val="7"/>
        <rFont val="Times New Roman"/>
        <family val="1"/>
      </rPr>
      <t xml:space="preserve">     </t>
    </r>
    <r>
      <rPr>
        <sz val="8"/>
        <rFont val="Verdana"/>
        <family val="2"/>
      </rPr>
      <t>30</t>
    </r>
  </si>
  <si>
    <r>
      <t>b.</t>
    </r>
    <r>
      <rPr>
        <sz val="7"/>
        <rFont val="Times New Roman"/>
        <family val="1"/>
      </rPr>
      <t xml:space="preserve">     </t>
    </r>
    <r>
      <rPr>
        <sz val="8"/>
        <rFont val="Verdana"/>
        <family val="2"/>
      </rPr>
      <t>50</t>
    </r>
  </si>
  <si>
    <r>
      <t>c.</t>
    </r>
    <r>
      <rPr>
        <sz val="7"/>
        <rFont val="Times New Roman"/>
        <family val="1"/>
      </rPr>
      <t xml:space="preserve">     </t>
    </r>
    <r>
      <rPr>
        <sz val="8"/>
        <rFont val="Verdana"/>
        <family val="2"/>
      </rPr>
      <t>60</t>
    </r>
  </si>
  <si>
    <r>
      <t>e.</t>
    </r>
    <r>
      <rPr>
        <sz val="7"/>
        <rFont val="Times New Roman"/>
        <family val="1"/>
      </rPr>
      <t xml:space="preserve">     </t>
    </r>
    <r>
      <rPr>
        <sz val="8"/>
        <rFont val="Verdana"/>
        <family val="2"/>
      </rPr>
      <t>120</t>
    </r>
  </si>
  <si>
    <r>
      <t>A.</t>
    </r>
    <r>
      <rPr>
        <sz val="7"/>
        <rFont val="Times New Roman"/>
        <family val="1"/>
      </rPr>
      <t xml:space="preserve">     </t>
    </r>
    <r>
      <rPr>
        <sz val="8"/>
        <rFont val="Verdana"/>
        <family val="2"/>
      </rPr>
      <t>98</t>
    </r>
  </si>
  <si>
    <r>
      <t>B.</t>
    </r>
    <r>
      <rPr>
        <sz val="7"/>
        <rFont val="Times New Roman"/>
        <family val="1"/>
      </rPr>
      <t xml:space="preserve">     </t>
    </r>
    <r>
      <rPr>
        <sz val="8"/>
        <rFont val="Verdana"/>
        <family val="2"/>
      </rPr>
      <t>99</t>
    </r>
  </si>
  <si>
    <r>
      <t>C.</t>
    </r>
    <r>
      <rPr>
        <sz val="7"/>
        <rFont val="Times New Roman"/>
        <family val="1"/>
      </rPr>
      <t xml:space="preserve">     </t>
    </r>
    <r>
      <rPr>
        <sz val="8"/>
        <rFont val="Verdana"/>
        <family val="2"/>
      </rPr>
      <t>100</t>
    </r>
  </si>
  <si>
    <r>
      <t>D.</t>
    </r>
    <r>
      <rPr>
        <sz val="7"/>
        <rFont val="Times New Roman"/>
        <family val="1"/>
      </rPr>
      <t xml:space="preserve">    </t>
    </r>
    <r>
      <rPr>
        <sz val="8"/>
        <rFont val="Verdana"/>
        <family val="2"/>
      </rPr>
      <t>101</t>
    </r>
  </si>
  <si>
    <r>
      <t>E.</t>
    </r>
    <r>
      <rPr>
        <sz val="7"/>
        <rFont val="Times New Roman"/>
        <family val="1"/>
      </rPr>
      <t xml:space="preserve">     </t>
    </r>
    <r>
      <rPr>
        <sz val="8"/>
        <rFont val="Verdana"/>
        <family val="2"/>
      </rPr>
      <t>102</t>
    </r>
  </si>
  <si>
    <r>
      <t>1.</t>
    </r>
    <r>
      <rPr>
        <sz val="7"/>
        <rFont val="Times New Roman"/>
        <family val="1"/>
      </rPr>
      <t xml:space="preserve">     </t>
    </r>
    <r>
      <rPr>
        <sz val="8"/>
        <rFont val="Verdana"/>
        <family val="2"/>
      </rPr>
      <t xml:space="preserve">Service Level Calculation is </t>
    </r>
  </si>
  <si>
    <t>a.     Answered / Offered calls</t>
  </si>
  <si>
    <t>b.     Answered in Threshold/ (Offered - Abndon in threshold)</t>
  </si>
  <si>
    <t>c.    Offered / Answered in Threshold</t>
  </si>
  <si>
    <t>d.     Answered in Threshold/ (Offered - Abndon in threshold)</t>
  </si>
  <si>
    <r>
      <t>3.</t>
    </r>
    <r>
      <rPr>
        <sz val="7"/>
        <rFont val="Times New Roman"/>
        <family val="1"/>
      </rPr>
      <t xml:space="preserve">     </t>
    </r>
    <r>
      <rPr>
        <sz val="8"/>
        <rFont val="Verdana"/>
        <family val="2"/>
      </rPr>
      <t>Forecast Accuracy percentage should be calculated by the following formula</t>
    </r>
  </si>
  <si>
    <r>
      <t>4.</t>
    </r>
    <r>
      <rPr>
        <sz val="7"/>
        <rFont val="Times New Roman"/>
        <family val="1"/>
      </rPr>
      <t xml:space="preserve">     </t>
    </r>
    <r>
      <rPr>
        <sz val="8"/>
        <rFont val="Verdana"/>
        <family val="2"/>
      </rPr>
      <t>Select the true statement</t>
    </r>
  </si>
  <si>
    <r>
      <t>5.</t>
    </r>
    <r>
      <rPr>
        <sz val="7"/>
        <rFont val="Times New Roman"/>
        <family val="1"/>
      </rPr>
      <t xml:space="preserve">     </t>
    </r>
    <r>
      <rPr>
        <sz val="8"/>
        <rFont val="Verdana"/>
        <family val="2"/>
      </rPr>
      <t>Higher the Agent Occupancy, higher is the service level. Is this statement true?</t>
    </r>
  </si>
  <si>
    <r>
      <t>6.</t>
    </r>
    <r>
      <rPr>
        <sz val="7"/>
        <rFont val="Times New Roman"/>
        <family val="1"/>
      </rPr>
      <t xml:space="preserve">     </t>
    </r>
    <r>
      <rPr>
        <sz val="8"/>
        <rFont val="Verdana"/>
        <family val="2"/>
      </rPr>
      <t>The formula for calculating abandoned % is</t>
    </r>
  </si>
  <si>
    <r>
      <t>7.</t>
    </r>
    <r>
      <rPr>
        <sz val="7"/>
        <rFont val="Times New Roman"/>
        <family val="1"/>
      </rPr>
      <t xml:space="preserve">     </t>
    </r>
    <r>
      <rPr>
        <sz val="8"/>
        <rFont val="Verdana"/>
        <family val="2"/>
      </rPr>
      <t>If the client revises the service level objective from 90%/20 Seconds to 80%/20 Seconds, We can afford to decrease its staffing levels.</t>
    </r>
  </si>
  <si>
    <r>
      <t>8.</t>
    </r>
    <r>
      <rPr>
        <sz val="7"/>
        <rFont val="Times New Roman"/>
        <family val="1"/>
      </rPr>
      <t xml:space="preserve">   </t>
    </r>
    <r>
      <rPr>
        <sz val="8"/>
        <rFont val="Verdana"/>
        <family val="2"/>
      </rPr>
      <t>If all the weights are equal, then the weighted mean is the same as the arithmetic mean.</t>
    </r>
  </si>
  <si>
    <r>
      <t>9.</t>
    </r>
    <r>
      <rPr>
        <sz val="7"/>
        <rFont val="Times New Roman"/>
        <family val="1"/>
      </rPr>
      <t xml:space="preserve">   </t>
    </r>
    <r>
      <rPr>
        <sz val="8"/>
        <rFont val="Verdana"/>
        <family val="2"/>
      </rPr>
      <t>On the first test of the semester, Kiran scored a 60. On the last test of the semester, Kiran scored 75%. By what percent did Kiran's score improve?</t>
    </r>
  </si>
  <si>
    <r>
      <t>10.</t>
    </r>
    <r>
      <rPr>
        <sz val="7"/>
        <rFont val="Times New Roman"/>
        <family val="1"/>
      </rPr>
      <t xml:space="preserve">   </t>
    </r>
    <r>
      <rPr>
        <sz val="8"/>
        <rFont val="Verdana"/>
        <family val="2"/>
      </rPr>
      <t>An amusement park charges $8 for an adults' ticket, and $6 for a children's ticket. On a certain day, a total of 150 tickets were sold for a total cost of $1020. How many more children's tickets were sold than adults' tickets</t>
    </r>
  </si>
  <si>
    <r>
      <t>11.</t>
    </r>
    <r>
      <rPr>
        <sz val="7"/>
        <rFont val="Times New Roman"/>
        <family val="1"/>
      </rPr>
      <t xml:space="preserve">   </t>
    </r>
    <r>
      <rPr>
        <sz val="8"/>
        <rFont val="Verdana"/>
        <family val="2"/>
      </rPr>
      <t>There are 250 people on a line outside a theater. If jack is the 25</t>
    </r>
    <r>
      <rPr>
        <vertAlign val="superscript"/>
        <sz val="8"/>
        <rFont val="Verdana"/>
        <family val="2"/>
      </rPr>
      <t>th</t>
    </r>
    <r>
      <rPr>
        <sz val="8"/>
        <rFont val="Verdana"/>
        <family val="2"/>
      </rPr>
      <t xml:space="preserve"> person from the front, and Jill is the 125</t>
    </r>
    <r>
      <rPr>
        <vertAlign val="superscript"/>
        <sz val="8"/>
        <rFont val="Verdana"/>
        <family val="2"/>
      </rPr>
      <t>th</t>
    </r>
    <r>
      <rPr>
        <sz val="8"/>
        <rFont val="Verdana"/>
        <family val="2"/>
      </rPr>
      <t xml:space="preserve"> person from the front, how many people are between jack and Jill?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</si>
</sst>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name val="Verdana"/>
      <family val="2"/>
    </font>
    <font>
      <sz val="11"/>
      <name val="Calibri"/>
      <family val="2"/>
      <scheme val="minor"/>
    </font>
    <font>
      <sz val="8"/>
      <name val="Verdana"/>
      <family val="2"/>
    </font>
    <font>
      <sz val="7"/>
      <name val="Times New Roman"/>
      <family val="1"/>
    </font>
    <font>
      <vertAlign val="superscript"/>
      <sz val="8"/>
      <name val="Verdana"/>
      <family val="2"/>
    </font>
    <font>
      <sz val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749992370372631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theme="4" tint="0.59999389629810485"/>
      </patternFill>
    </fill>
    <fill>
      <patternFill patternType="solid">
        <fgColor rgb="FF00B0F0"/>
        <bgColor theme="4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12" borderId="0" applyNumberFormat="0" applyBorder="0" applyAlignment="0" applyProtection="0"/>
  </cellStyleXfs>
  <cellXfs count="103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4" borderId="5" xfId="1" applyFont="1" applyFill="1" applyBorder="1" applyAlignment="1">
      <alignment horizontal="center"/>
    </xf>
    <xf numFmtId="0" fontId="4" fillId="4" borderId="6" xfId="1" applyFont="1" applyFill="1" applyBorder="1" applyAlignment="1">
      <alignment horizontal="center"/>
    </xf>
    <xf numFmtId="0" fontId="2" fillId="5" borderId="5" xfId="0" applyFont="1" applyFill="1" applyBorder="1"/>
    <xf numFmtId="0" fontId="2" fillId="5" borderId="6" xfId="0" applyFont="1" applyFill="1" applyBorder="1"/>
    <xf numFmtId="0" fontId="1" fillId="6" borderId="7" xfId="1" applyFill="1" applyBorder="1" applyAlignment="1">
      <alignment horizontal="center"/>
    </xf>
    <xf numFmtId="0" fontId="1" fillId="6" borderId="8" xfId="1" applyFill="1" applyBorder="1" applyAlignment="1">
      <alignment horizontal="center"/>
    </xf>
    <xf numFmtId="0" fontId="1" fillId="6" borderId="9" xfId="1" applyFill="1" applyBorder="1" applyAlignment="1">
      <alignment horizontal="center"/>
    </xf>
    <xf numFmtId="0" fontId="1" fillId="6" borderId="0" xfId="1" applyFill="1" applyAlignment="1">
      <alignment horizontal="center"/>
    </xf>
    <xf numFmtId="0" fontId="1" fillId="6" borderId="7" xfId="1" applyFill="1" applyBorder="1" applyAlignment="1">
      <alignment horizontal="left"/>
    </xf>
    <xf numFmtId="0" fontId="6" fillId="0" borderId="0" xfId="0" applyFont="1"/>
    <xf numFmtId="0" fontId="0" fillId="7" borderId="8" xfId="0" applyFill="1" applyBorder="1" applyProtection="1">
      <protection locked="0"/>
    </xf>
    <xf numFmtId="0" fontId="0" fillId="8" borderId="8" xfId="0" applyFill="1" applyBorder="1" applyProtection="1">
      <protection locked="0"/>
    </xf>
    <xf numFmtId="0" fontId="2" fillId="5" borderId="6" xfId="0" applyFont="1" applyFill="1" applyBorder="1" applyAlignment="1">
      <alignment horizontal="center"/>
    </xf>
    <xf numFmtId="0" fontId="0" fillId="7" borderId="8" xfId="0" applyFill="1" applyBorder="1" applyAlignment="1" applyProtection="1">
      <alignment horizontal="center"/>
      <protection locked="0"/>
    </xf>
    <xf numFmtId="0" fontId="2" fillId="5" borderId="5" xfId="0" applyFont="1" applyFill="1" applyBorder="1" applyAlignment="1">
      <alignment horizontal="center"/>
    </xf>
    <xf numFmtId="0" fontId="4" fillId="4" borderId="5" xfId="1" applyFont="1" applyFill="1" applyBorder="1" applyAlignment="1">
      <alignment horizontal="center" wrapText="1"/>
    </xf>
    <xf numFmtId="9" fontId="0" fillId="7" borderId="8" xfId="0" applyNumberFormat="1" applyFill="1" applyBorder="1" applyAlignment="1" applyProtection="1">
      <alignment horizontal="center"/>
      <protection locked="0"/>
    </xf>
    <xf numFmtId="0" fontId="2" fillId="5" borderId="6" xfId="0" applyFont="1" applyFill="1" applyBorder="1" applyAlignment="1">
      <alignment horizontal="center" wrapText="1"/>
    </xf>
    <xf numFmtId="15" fontId="1" fillId="6" borderId="7" xfId="1" applyNumberFormat="1" applyFill="1" applyBorder="1" applyAlignment="1">
      <alignment horizontal="left"/>
    </xf>
    <xf numFmtId="0" fontId="0" fillId="9" borderId="0" xfId="0" applyFill="1"/>
    <xf numFmtId="0" fontId="0" fillId="9" borderId="0" xfId="0" applyFill="1" applyAlignment="1">
      <alignment horizontal="center"/>
    </xf>
    <xf numFmtId="0" fontId="4" fillId="4" borderId="6" xfId="1" applyFont="1" applyFill="1" applyBorder="1" applyAlignment="1">
      <alignment horizontal="center" wrapText="1"/>
    </xf>
    <xf numFmtId="15" fontId="1" fillId="6" borderId="9" xfId="1" applyNumberFormat="1" applyFill="1" applyBorder="1" applyAlignment="1">
      <alignment horizontal="left"/>
    </xf>
    <xf numFmtId="0" fontId="1" fillId="6" borderId="9" xfId="1" applyFill="1" applyBorder="1" applyAlignment="1">
      <alignment horizontal="left"/>
    </xf>
    <xf numFmtId="0" fontId="1" fillId="6" borderId="0" xfId="1" applyFill="1" applyBorder="1" applyAlignment="1">
      <alignment horizontal="center"/>
    </xf>
    <xf numFmtId="0" fontId="0" fillId="9" borderId="0" xfId="0" applyFill="1" applyProtection="1">
      <protection locked="0"/>
    </xf>
    <xf numFmtId="0" fontId="2" fillId="4" borderId="5" xfId="1" applyFont="1" applyFill="1" applyBorder="1" applyAlignment="1">
      <alignment horizontal="center"/>
    </xf>
    <xf numFmtId="0" fontId="2" fillId="4" borderId="5" xfId="1" applyFont="1" applyFill="1" applyBorder="1" applyAlignment="1">
      <alignment horizontal="center" wrapText="1"/>
    </xf>
    <xf numFmtId="15" fontId="0" fillId="0" borderId="7" xfId="1" applyNumberFormat="1" applyFont="1" applyFill="1" applyBorder="1" applyAlignment="1">
      <alignment horizontal="left"/>
    </xf>
    <xf numFmtId="0" fontId="0" fillId="0" borderId="7" xfId="1" applyFont="1" applyFill="1" applyBorder="1" applyAlignment="1">
      <alignment horizontal="left"/>
    </xf>
    <xf numFmtId="0" fontId="0" fillId="0" borderId="7" xfId="1" applyFont="1" applyFill="1" applyBorder="1" applyAlignment="1">
      <alignment horizontal="center"/>
    </xf>
    <xf numFmtId="0" fontId="4" fillId="10" borderId="0" xfId="0" applyFont="1" applyFill="1"/>
    <xf numFmtId="0" fontId="4" fillId="11" borderId="0" xfId="0" applyFont="1" applyFill="1"/>
    <xf numFmtId="0" fontId="4" fillId="3" borderId="0" xfId="0" applyFont="1" applyFill="1"/>
    <xf numFmtId="0" fontId="3" fillId="0" borderId="0" xfId="0" applyFont="1" applyAlignment="1">
      <alignment horizontal="right"/>
    </xf>
    <xf numFmtId="0" fontId="0" fillId="0" borderId="10" xfId="0" applyBorder="1" applyAlignment="1">
      <alignment horizontal="center"/>
    </xf>
    <xf numFmtId="0" fontId="0" fillId="0" borderId="13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9" fontId="0" fillId="0" borderId="11" xfId="0" applyNumberFormat="1" applyBorder="1" applyAlignment="1">
      <alignment horizontal="center"/>
    </xf>
    <xf numFmtId="0" fontId="0" fillId="9" borderId="12" xfId="0" applyFill="1" applyBorder="1" applyAlignment="1" applyProtection="1">
      <alignment horizontal="center"/>
      <protection locked="0"/>
    </xf>
    <xf numFmtId="0" fontId="0" fillId="0" borderId="16" xfId="0" applyBorder="1"/>
    <xf numFmtId="164" fontId="0" fillId="0" borderId="11" xfId="0" applyNumberFormat="1" applyBorder="1" applyAlignment="1">
      <alignment horizontal="center"/>
    </xf>
    <xf numFmtId="15" fontId="0" fillId="0" borderId="11" xfId="0" applyNumberFormat="1" applyBorder="1" applyAlignment="1">
      <alignment horizontal="center"/>
    </xf>
    <xf numFmtId="0" fontId="4" fillId="0" borderId="13" xfId="0" applyFont="1" applyBorder="1"/>
    <xf numFmtId="9" fontId="0" fillId="9" borderId="12" xfId="0" applyNumberFormat="1" applyFill="1" applyBorder="1" applyAlignment="1" applyProtection="1">
      <alignment horizontal="center"/>
      <protection locked="0"/>
    </xf>
    <xf numFmtId="0" fontId="0" fillId="13" borderId="0" xfId="0" applyFill="1" applyAlignment="1">
      <alignment horizontal="center"/>
    </xf>
    <xf numFmtId="0" fontId="0" fillId="13" borderId="0" xfId="0" applyFill="1" applyAlignment="1" applyProtection="1">
      <alignment horizontal="center"/>
      <protection locked="0"/>
    </xf>
    <xf numFmtId="15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left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9" fontId="4" fillId="3" borderId="1" xfId="0" applyNumberFormat="1" applyFont="1" applyFill="1" applyBorder="1" applyAlignment="1">
      <alignment horizontal="center"/>
    </xf>
    <xf numFmtId="0" fontId="1" fillId="9" borderId="7" xfId="1" applyFill="1" applyBorder="1" applyAlignment="1" applyProtection="1">
      <alignment horizontal="left"/>
      <protection locked="0"/>
    </xf>
    <xf numFmtId="164" fontId="0" fillId="13" borderId="0" xfId="0" applyNumberFormat="1" applyFill="1" applyAlignment="1" applyProtection="1">
      <alignment horizontal="center"/>
      <protection locked="0"/>
    </xf>
    <xf numFmtId="0" fontId="1" fillId="12" borderId="0" xfId="2" applyProtection="1"/>
    <xf numFmtId="0" fontId="1" fillId="12" borderId="0" xfId="2" quotePrefix="1" applyAlignment="1" applyProtection="1">
      <alignment horizontal="center"/>
    </xf>
    <xf numFmtId="0" fontId="1" fillId="12" borderId="0" xfId="2" applyAlignment="1" applyProtection="1">
      <alignment horizontal="center"/>
    </xf>
    <xf numFmtId="0" fontId="1" fillId="12" borderId="0" xfId="2" applyBorder="1" applyAlignment="1" applyProtection="1">
      <alignment horizontal="center"/>
    </xf>
    <xf numFmtId="0" fontId="1" fillId="12" borderId="0" xfId="2" quotePrefix="1" applyBorder="1" applyAlignment="1" applyProtection="1">
      <alignment horizontal="center"/>
    </xf>
    <xf numFmtId="0" fontId="1" fillId="12" borderId="0" xfId="2" applyBorder="1" applyProtection="1"/>
    <xf numFmtId="0" fontId="4" fillId="4" borderId="0" xfId="2" applyFont="1" applyFill="1" applyProtection="1"/>
    <xf numFmtId="0" fontId="4" fillId="4" borderId="0" xfId="2" quotePrefix="1" applyFont="1" applyFill="1" applyAlignment="1" applyProtection="1">
      <alignment horizont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2"/>
    </xf>
    <xf numFmtId="0" fontId="9" fillId="0" borderId="0" xfId="0" applyFont="1" applyAlignment="1">
      <alignment horizontal="left" vertical="center" indent="8"/>
    </xf>
    <xf numFmtId="0" fontId="9" fillId="0" borderId="0" xfId="0" applyFont="1" applyAlignment="1">
      <alignment horizontal="left" vertical="center" indent="5"/>
    </xf>
    <xf numFmtId="0" fontId="12" fillId="0" borderId="0" xfId="0" applyFont="1" applyAlignment="1">
      <alignment horizontal="left" vertical="center" indent="8"/>
    </xf>
    <xf numFmtId="0" fontId="12" fillId="0" borderId="0" xfId="0" applyFont="1"/>
    <xf numFmtId="0" fontId="12" fillId="13" borderId="0" xfId="0" applyFont="1" applyFill="1"/>
    <xf numFmtId="0" fontId="8" fillId="13" borderId="0" xfId="0" applyFont="1" applyFill="1"/>
    <xf numFmtId="10" fontId="8" fillId="13" borderId="0" xfId="0" applyNumberFormat="1" applyFont="1" applyFill="1"/>
    <xf numFmtId="10" fontId="8" fillId="0" borderId="0" xfId="0" applyNumberFormat="1" applyFont="1"/>
    <xf numFmtId="0" fontId="0" fillId="9" borderId="17" xfId="0" applyFill="1" applyBorder="1"/>
    <xf numFmtId="0" fontId="0" fillId="9" borderId="18" xfId="0" applyFill="1" applyBorder="1"/>
    <xf numFmtId="0" fontId="0" fillId="9" borderId="19" xfId="0" applyFill="1" applyBorder="1"/>
    <xf numFmtId="0" fontId="0" fillId="9" borderId="20" xfId="0" applyFill="1" applyBorder="1"/>
    <xf numFmtId="0" fontId="0" fillId="9" borderId="21" xfId="0" applyFill="1" applyBorder="1"/>
    <xf numFmtId="0" fontId="0" fillId="9" borderId="22" xfId="0" applyFill="1" applyBorder="1"/>
    <xf numFmtId="0" fontId="0" fillId="9" borderId="23" xfId="0" applyFill="1" applyBorder="1"/>
    <xf numFmtId="0" fontId="0" fillId="9" borderId="24" xfId="0" applyFill="1" applyBorder="1"/>
    <xf numFmtId="0" fontId="0" fillId="9" borderId="25" xfId="0" applyFill="1" applyBorder="1"/>
    <xf numFmtId="0" fontId="0" fillId="0" borderId="2" xfId="0" applyBorder="1" applyAlignment="1" applyProtection="1">
      <alignment horizontal="left" indent="1"/>
      <protection locked="0"/>
    </xf>
    <xf numFmtId="0" fontId="0" fillId="0" borderId="4" xfId="0" applyBorder="1" applyAlignment="1" applyProtection="1">
      <alignment horizontal="left" indent="1"/>
      <protection locked="0"/>
    </xf>
    <xf numFmtId="0" fontId="0" fillId="0" borderId="3" xfId="0" applyBorder="1" applyAlignment="1" applyProtection="1">
      <alignment horizontal="left" indent="1"/>
      <protection locked="0"/>
    </xf>
    <xf numFmtId="15" fontId="0" fillId="0" borderId="2" xfId="0" applyNumberFormat="1" applyBorder="1" applyAlignment="1" applyProtection="1">
      <alignment horizontal="center"/>
      <protection locked="0"/>
    </xf>
    <xf numFmtId="15" fontId="0" fillId="0" borderId="3" xfId="0" applyNumberFormat="1" applyBorder="1" applyAlignment="1" applyProtection="1">
      <alignment horizontal="center"/>
      <protection locked="0"/>
    </xf>
    <xf numFmtId="1" fontId="0" fillId="0" borderId="2" xfId="0" applyNumberFormat="1" applyBorder="1" applyAlignment="1" applyProtection="1">
      <alignment horizontal="center"/>
      <protection locked="0"/>
    </xf>
    <xf numFmtId="1" fontId="0" fillId="0" borderId="3" xfId="0" applyNumberFormat="1" applyBorder="1" applyAlignment="1" applyProtection="1">
      <alignment horizontal="center"/>
      <protection locked="0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</cellXfs>
  <cellStyles count="3">
    <cellStyle name="20% - Accent1" xfId="1" builtinId="30"/>
    <cellStyle name="20% - Accent4" xfId="2" builtinId="42"/>
    <cellStyle name="Normal" xfId="0" builtinId="0"/>
  </cellStyles>
  <dxfs count="14">
    <dxf>
      <font>
        <color theme="0"/>
      </font>
      <fill>
        <patternFill>
          <bgColor rgb="FF00B050"/>
        </patternFill>
      </fill>
    </dxf>
    <dxf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protection locked="1" hidden="0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2" tint="-0.749992370372631"/>
        </patternFill>
      </fill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relativeIndent="0" justifyLastLine="0" shrinkToFit="0" readingOrder="0"/>
      <border diagonalUp="0" diagonalDown="0">
        <left/>
        <right/>
        <top/>
        <bottom style="thin">
          <color theme="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relativeIndent="0" justifyLastLine="0" shrinkToFit="0" readingOrder="0"/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left" vertical="bottom" textRotation="0" wrapText="0" relativeIndent="0" justifyLastLine="0" shrinkToFit="0" readingOrder="0"/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numFmt numFmtId="165" formatCode="d\-mmm\-yy"/>
      <fill>
        <patternFill patternType="solid">
          <fgColor indexed="64"/>
          <bgColor theme="6" tint="0.79998168889431442"/>
        </patternFill>
      </fill>
      <alignment horizontal="left" vertical="bottom" textRotation="0" wrapText="0" relativeIndent="0" justifyLastLine="0" shrinkToFit="0" readingOrder="0"/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border outline="0">
        <right style="thin">
          <color theme="0"/>
        </right>
        <bottom style="thin">
          <color theme="0"/>
        </bottom>
      </border>
    </dxf>
    <dxf>
      <border outline="0">
        <bottom style="thick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2" tint="-0.749992370372631"/>
        </patternFill>
      </fill>
      <alignment horizontal="center" vertical="bottom" textRotation="0" wrapText="1" relative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ill>
        <patternFill>
          <bgColor rgb="FF00B0F0"/>
        </patternFill>
      </fill>
    </dxf>
  </dxfs>
  <tableStyles count="1" defaultTableStyle="TableStyleMedium9" defaultPivotStyle="PivotStyleLight16">
    <tableStyle name="Invisible" pivot="0" table="0" count="0" xr9:uid="{B8F428A6-9360-429D-8525-4C1234A1CD0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1008530</xdr:colOff>
      <xdr:row>6</xdr:row>
      <xdr:rowOff>67237</xdr:rowOff>
    </xdr:from>
    <xdr:to>
      <xdr:col>15</xdr:col>
      <xdr:colOff>683746</xdr:colOff>
      <xdr:row>19</xdr:row>
      <xdr:rowOff>54349</xdr:rowOff>
    </xdr:to>
    <xdr:pic>
      <xdr:nvPicPr>
        <xdr:cNvPr id="5123" name="Picture 3">
          <a:extLst>
            <a:ext uri="{FF2B5EF4-FFF2-40B4-BE49-F238E27FC236}">
              <a16:creationId xmlns:a16="http://schemas.microsoft.com/office/drawing/2014/main" id="{00000000-0008-0000-0700-00000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42001" y="1367119"/>
          <a:ext cx="6488392" cy="2429995"/>
        </a:xfrm>
        <a:prstGeom prst="rect">
          <a:avLst/>
        </a:prstGeom>
        <a:noFill/>
        <a:ln>
          <a:solidFill>
            <a:schemeClr val="accent6">
              <a:lumMod val="50000"/>
            </a:schemeClr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11</xdr:row>
      <xdr:rowOff>0</xdr:rowOff>
    </xdr:from>
    <xdr:to>
      <xdr:col>10</xdr:col>
      <xdr:colOff>28575</xdr:colOff>
      <xdr:row>32</xdr:row>
      <xdr:rowOff>9525</xdr:rowOff>
    </xdr:to>
    <xdr:pic>
      <xdr:nvPicPr>
        <xdr:cNvPr id="6145" name="Picture 1">
          <a:extLst>
            <a:ext uri="{FF2B5EF4-FFF2-40B4-BE49-F238E27FC236}">
              <a16:creationId xmlns:a16="http://schemas.microsoft.com/office/drawing/2014/main" id="{00000000-0008-0000-0800-00000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29275" y="2276475"/>
          <a:ext cx="2686050" cy="402907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963705</xdr:colOff>
      <xdr:row>6</xdr:row>
      <xdr:rowOff>145677</xdr:rowOff>
    </xdr:from>
    <xdr:to>
      <xdr:col>13</xdr:col>
      <xdr:colOff>282517</xdr:colOff>
      <xdr:row>21</xdr:row>
      <xdr:rowOff>33589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670176" y="1288677"/>
          <a:ext cx="4596782" cy="276782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khraj Reddy" refreshedDate="45394.307899189815" createdVersion="8" refreshedVersion="8" minRefreshableVersion="3" recordCount="70" xr:uid="{B2D30DDE-85B4-4D10-B7F5-768642A9E7FE}">
  <cacheSource type="worksheet">
    <worksheetSource name="Table1"/>
  </cacheSource>
  <cacheFields count="4">
    <cacheField name="Date" numFmtId="15">
      <sharedItems containsSemiMixedTypes="0" containsNonDate="0" containsDate="1" containsString="0" minDate="2014-01-01T00:00:00" maxDate="2014-01-08T00:00:00" count="7">
        <d v="2014-01-01T00:00:00"/>
        <d v="2014-01-02T00:00:00"/>
        <d v="2014-01-03T00:00:00"/>
        <d v="2014-01-04T00:00:00"/>
        <d v="2014-01-05T00:00:00"/>
        <d v="2014-01-06T00:00:00"/>
        <d v="2014-01-07T00:00:00"/>
      </sharedItems>
    </cacheField>
    <cacheField name="Name" numFmtId="0">
      <sharedItems count="10">
        <s v="Akilah Culler"/>
        <s v="Arline Bennett"/>
        <s v="Beckie Paquin"/>
        <s v="Charita Lien"/>
        <s v="Darwin Kitchell"/>
        <s v="Eloy Herbst"/>
        <s v="Helene Richins"/>
        <s v="Kelley Messer"/>
        <s v="Miranda Moisan"/>
        <s v="Shae Heimbach"/>
      </sharedItems>
    </cacheField>
    <cacheField name="Present" numFmtId="0">
      <sharedItems containsSemiMixedTypes="0" containsString="0" containsNumber="1" containsInteger="1" minValue="0" maxValue="1" count="2">
        <n v="1"/>
        <n v="0"/>
      </sharedItems>
    </cacheField>
    <cacheField name="Absent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x v="0"/>
    <x v="0"/>
    <x v="0"/>
    <n v="0"/>
  </r>
  <r>
    <x v="0"/>
    <x v="1"/>
    <x v="0"/>
    <n v="0"/>
  </r>
  <r>
    <x v="0"/>
    <x v="2"/>
    <x v="1"/>
    <n v="1"/>
  </r>
  <r>
    <x v="0"/>
    <x v="3"/>
    <x v="0"/>
    <n v="0"/>
  </r>
  <r>
    <x v="0"/>
    <x v="4"/>
    <x v="0"/>
    <n v="0"/>
  </r>
  <r>
    <x v="0"/>
    <x v="5"/>
    <x v="0"/>
    <n v="0"/>
  </r>
  <r>
    <x v="0"/>
    <x v="6"/>
    <x v="1"/>
    <n v="1"/>
  </r>
  <r>
    <x v="0"/>
    <x v="7"/>
    <x v="0"/>
    <n v="0"/>
  </r>
  <r>
    <x v="0"/>
    <x v="8"/>
    <x v="0"/>
    <n v="0"/>
  </r>
  <r>
    <x v="0"/>
    <x v="9"/>
    <x v="1"/>
    <n v="1"/>
  </r>
  <r>
    <x v="1"/>
    <x v="0"/>
    <x v="0"/>
    <n v="0"/>
  </r>
  <r>
    <x v="1"/>
    <x v="1"/>
    <x v="0"/>
    <n v="0"/>
  </r>
  <r>
    <x v="1"/>
    <x v="2"/>
    <x v="1"/>
    <n v="1"/>
  </r>
  <r>
    <x v="1"/>
    <x v="3"/>
    <x v="0"/>
    <n v="0"/>
  </r>
  <r>
    <x v="1"/>
    <x v="4"/>
    <x v="0"/>
    <n v="0"/>
  </r>
  <r>
    <x v="1"/>
    <x v="5"/>
    <x v="0"/>
    <n v="0"/>
  </r>
  <r>
    <x v="1"/>
    <x v="6"/>
    <x v="1"/>
    <n v="1"/>
  </r>
  <r>
    <x v="1"/>
    <x v="7"/>
    <x v="0"/>
    <n v="0"/>
  </r>
  <r>
    <x v="1"/>
    <x v="8"/>
    <x v="1"/>
    <n v="1"/>
  </r>
  <r>
    <x v="1"/>
    <x v="9"/>
    <x v="0"/>
    <n v="0"/>
  </r>
  <r>
    <x v="2"/>
    <x v="0"/>
    <x v="0"/>
    <n v="0"/>
  </r>
  <r>
    <x v="2"/>
    <x v="1"/>
    <x v="1"/>
    <n v="1"/>
  </r>
  <r>
    <x v="2"/>
    <x v="2"/>
    <x v="0"/>
    <n v="0"/>
  </r>
  <r>
    <x v="2"/>
    <x v="3"/>
    <x v="1"/>
    <n v="1"/>
  </r>
  <r>
    <x v="2"/>
    <x v="4"/>
    <x v="0"/>
    <n v="0"/>
  </r>
  <r>
    <x v="2"/>
    <x v="5"/>
    <x v="0"/>
    <n v="0"/>
  </r>
  <r>
    <x v="2"/>
    <x v="6"/>
    <x v="1"/>
    <n v="1"/>
  </r>
  <r>
    <x v="2"/>
    <x v="7"/>
    <x v="0"/>
    <n v="0"/>
  </r>
  <r>
    <x v="2"/>
    <x v="8"/>
    <x v="0"/>
    <n v="0"/>
  </r>
  <r>
    <x v="2"/>
    <x v="9"/>
    <x v="1"/>
    <n v="1"/>
  </r>
  <r>
    <x v="3"/>
    <x v="0"/>
    <x v="0"/>
    <n v="0"/>
  </r>
  <r>
    <x v="3"/>
    <x v="1"/>
    <x v="0"/>
    <n v="0"/>
  </r>
  <r>
    <x v="3"/>
    <x v="2"/>
    <x v="1"/>
    <n v="1"/>
  </r>
  <r>
    <x v="3"/>
    <x v="3"/>
    <x v="1"/>
    <n v="1"/>
  </r>
  <r>
    <x v="3"/>
    <x v="4"/>
    <x v="0"/>
    <n v="0"/>
  </r>
  <r>
    <x v="3"/>
    <x v="5"/>
    <x v="0"/>
    <n v="0"/>
  </r>
  <r>
    <x v="3"/>
    <x v="6"/>
    <x v="0"/>
    <n v="0"/>
  </r>
  <r>
    <x v="3"/>
    <x v="7"/>
    <x v="1"/>
    <n v="1"/>
  </r>
  <r>
    <x v="3"/>
    <x v="8"/>
    <x v="1"/>
    <n v="1"/>
  </r>
  <r>
    <x v="3"/>
    <x v="9"/>
    <x v="0"/>
    <n v="0"/>
  </r>
  <r>
    <x v="4"/>
    <x v="0"/>
    <x v="0"/>
    <n v="0"/>
  </r>
  <r>
    <x v="4"/>
    <x v="1"/>
    <x v="0"/>
    <n v="0"/>
  </r>
  <r>
    <x v="4"/>
    <x v="2"/>
    <x v="1"/>
    <n v="1"/>
  </r>
  <r>
    <x v="4"/>
    <x v="3"/>
    <x v="0"/>
    <n v="0"/>
  </r>
  <r>
    <x v="4"/>
    <x v="4"/>
    <x v="0"/>
    <n v="0"/>
  </r>
  <r>
    <x v="4"/>
    <x v="5"/>
    <x v="1"/>
    <n v="1"/>
  </r>
  <r>
    <x v="4"/>
    <x v="6"/>
    <x v="0"/>
    <n v="0"/>
  </r>
  <r>
    <x v="4"/>
    <x v="7"/>
    <x v="0"/>
    <n v="0"/>
  </r>
  <r>
    <x v="4"/>
    <x v="8"/>
    <x v="0"/>
    <n v="0"/>
  </r>
  <r>
    <x v="4"/>
    <x v="9"/>
    <x v="0"/>
    <n v="0"/>
  </r>
  <r>
    <x v="5"/>
    <x v="0"/>
    <x v="0"/>
    <n v="0"/>
  </r>
  <r>
    <x v="5"/>
    <x v="1"/>
    <x v="1"/>
    <n v="1"/>
  </r>
  <r>
    <x v="5"/>
    <x v="2"/>
    <x v="0"/>
    <n v="0"/>
  </r>
  <r>
    <x v="5"/>
    <x v="3"/>
    <x v="1"/>
    <n v="1"/>
  </r>
  <r>
    <x v="5"/>
    <x v="4"/>
    <x v="0"/>
    <n v="0"/>
  </r>
  <r>
    <x v="5"/>
    <x v="5"/>
    <x v="0"/>
    <n v="0"/>
  </r>
  <r>
    <x v="5"/>
    <x v="6"/>
    <x v="0"/>
    <n v="0"/>
  </r>
  <r>
    <x v="5"/>
    <x v="7"/>
    <x v="0"/>
    <n v="0"/>
  </r>
  <r>
    <x v="5"/>
    <x v="8"/>
    <x v="1"/>
    <n v="1"/>
  </r>
  <r>
    <x v="5"/>
    <x v="9"/>
    <x v="1"/>
    <n v="1"/>
  </r>
  <r>
    <x v="6"/>
    <x v="0"/>
    <x v="0"/>
    <n v="0"/>
  </r>
  <r>
    <x v="6"/>
    <x v="1"/>
    <x v="0"/>
    <n v="0"/>
  </r>
  <r>
    <x v="6"/>
    <x v="2"/>
    <x v="1"/>
    <n v="1"/>
  </r>
  <r>
    <x v="6"/>
    <x v="3"/>
    <x v="0"/>
    <n v="0"/>
  </r>
  <r>
    <x v="6"/>
    <x v="4"/>
    <x v="0"/>
    <n v="0"/>
  </r>
  <r>
    <x v="6"/>
    <x v="5"/>
    <x v="0"/>
    <n v="0"/>
  </r>
  <r>
    <x v="6"/>
    <x v="6"/>
    <x v="0"/>
    <n v="0"/>
  </r>
  <r>
    <x v="6"/>
    <x v="7"/>
    <x v="0"/>
    <n v="0"/>
  </r>
  <r>
    <x v="6"/>
    <x v="8"/>
    <x v="0"/>
    <n v="0"/>
  </r>
  <r>
    <x v="6"/>
    <x v="9"/>
    <x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3F40E8-1F82-457B-88F4-EDB96A5E8DB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3:J40" firstHeaderRow="1" firstDataRow="1" firstDataCol="0"/>
  <pivotFields count="4">
    <pivotField numFmtId="15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3">
        <item x="1"/>
        <item x="0"/>
        <item t="default"/>
      </items>
    </pivotField>
    <pivotField showAll="0"/>
  </pivotFields>
  <formats count="1">
    <format dxfId="13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le1" displayName="Table1" ref="C8:F78" totalsRowShown="0" headerRowDxfId="12" headerRowBorderDxfId="11" tableBorderDxfId="10" headerRowCellStyle="20% - Accent1">
  <tableColumns count="4">
    <tableColumn id="1" xr3:uid="{00000000-0010-0000-0000-000001000000}" name="Date" dataDxfId="9" dataCellStyle="20% - Accent1"/>
    <tableColumn id="2" xr3:uid="{00000000-0010-0000-0000-000002000000}" name="Name" dataDxfId="8" dataCellStyle="20% - Accent1"/>
    <tableColumn id="3" xr3:uid="{00000000-0010-0000-0000-000003000000}" name="Present" dataDxfId="7" dataCellStyle="20% - Accent1"/>
    <tableColumn id="4" xr3:uid="{00000000-0010-0000-0000-000004000000}" name="Absent" dataDxfId="6" dataCellStyle="20% - Accent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2" displayName="Table2" ref="I7:K13" totalsRowShown="0" headerRowDxfId="5" dataDxfId="4" headerRowCellStyle="20% - Accent4" dataCellStyle="20% - Accent4">
  <tableColumns count="3">
    <tableColumn id="1" xr3:uid="{00000000-0010-0000-0100-000001000000}" name="Age Cutoff" dataDxfId="3" dataCellStyle="20% - Accent4"/>
    <tableColumn id="2" xr3:uid="{00000000-0010-0000-0100-000002000000}" name="--------" dataDxfId="2" dataCellStyle="20% - Accent4"/>
    <tableColumn id="3" xr3:uid="{00000000-0010-0000-0100-000003000000}" name="Age Range" dataDxfId="1" dataCellStyle="20% - Accent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L15"/>
  <sheetViews>
    <sheetView showGridLines="0" showRowColHeaders="0" workbookViewId="0">
      <selection activeCell="C7" sqref="C7:D7"/>
    </sheetView>
  </sheetViews>
  <sheetFormatPr defaultRowHeight="15" x14ac:dyDescent="0.25"/>
  <cols>
    <col min="2" max="2" width="15.7109375" customWidth="1"/>
    <col min="3" max="3" width="9.28515625" customWidth="1"/>
    <col min="4" max="4" width="1.85546875" customWidth="1"/>
    <col min="7" max="7" width="1.85546875" customWidth="1"/>
    <col min="10" max="10" width="1.85546875" customWidth="1"/>
  </cols>
  <sheetData>
    <row r="5" spans="2:12" s="3" customFormat="1" x14ac:dyDescent="0.25">
      <c r="B5" s="2" t="s">
        <v>0</v>
      </c>
      <c r="C5" s="90"/>
      <c r="D5" s="91"/>
      <c r="E5" s="91"/>
      <c r="F5" s="91"/>
      <c r="G5" s="92"/>
    </row>
    <row r="6" spans="2:12" s="3" customFormat="1" x14ac:dyDescent="0.25">
      <c r="B6" s="1"/>
    </row>
    <row r="7" spans="2:12" s="3" customFormat="1" x14ac:dyDescent="0.25">
      <c r="B7" s="2" t="s">
        <v>1</v>
      </c>
      <c r="C7" s="93"/>
      <c r="D7" s="94"/>
    </row>
    <row r="9" spans="2:12" x14ac:dyDescent="0.25">
      <c r="B9" s="2" t="s">
        <v>2</v>
      </c>
      <c r="C9" s="95"/>
      <c r="D9" s="96"/>
    </row>
    <row r="11" spans="2:12" x14ac:dyDescent="0.25">
      <c r="B11" s="55" t="s">
        <v>253</v>
      </c>
      <c r="C11" s="56">
        <f>SUM('Q1:Q11'!K2)</f>
        <v>0</v>
      </c>
      <c r="E11" s="55" t="s">
        <v>254</v>
      </c>
      <c r="F11" s="56">
        <v>25</v>
      </c>
      <c r="H11" s="55" t="s">
        <v>255</v>
      </c>
      <c r="I11" s="57">
        <f>C11/F11</f>
        <v>0</v>
      </c>
      <c r="K11" s="55" t="s">
        <v>256</v>
      </c>
      <c r="L11" s="58" t="str">
        <f>IF(I11&gt;=70%,"Pass","Fail")</f>
        <v>Fail</v>
      </c>
    </row>
    <row r="12" spans="2:12" x14ac:dyDescent="0.25">
      <c r="B12" s="5"/>
      <c r="C12" s="54"/>
      <c r="D12" s="54"/>
    </row>
    <row r="13" spans="2:12" x14ac:dyDescent="0.25">
      <c r="B13" t="s">
        <v>3</v>
      </c>
    </row>
    <row r="14" spans="2:12" x14ac:dyDescent="0.25">
      <c r="B14" t="s">
        <v>4</v>
      </c>
    </row>
    <row r="15" spans="2:12" x14ac:dyDescent="0.25">
      <c r="B15" t="s">
        <v>6</v>
      </c>
    </row>
  </sheetData>
  <sheetProtection sheet="1" objects="1" scenarios="1" selectLockedCells="1"/>
  <mergeCells count="3">
    <mergeCell ref="C5:G5"/>
    <mergeCell ref="C7:D7"/>
    <mergeCell ref="C9:D9"/>
  </mergeCells>
  <conditionalFormatting sqref="L11">
    <cfRule type="cellIs" dxfId="0" priority="1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58"/>
  <sheetViews>
    <sheetView showGridLines="0" showRowColHeaders="0" tabSelected="1" zoomScale="85" zoomScaleNormal="85" workbookViewId="0">
      <selection activeCell="F12" sqref="F12"/>
    </sheetView>
  </sheetViews>
  <sheetFormatPr defaultRowHeight="15" x14ac:dyDescent="0.25"/>
  <cols>
    <col min="3" max="3" width="18.28515625" customWidth="1"/>
    <col min="4" max="4" width="13.7109375" customWidth="1"/>
    <col min="9" max="9" width="15.28515625" style="1" bestFit="1" customWidth="1"/>
    <col min="10" max="10" width="6.7109375" style="1" customWidth="1"/>
    <col min="11" max="11" width="19.42578125" style="1" customWidth="1"/>
    <col min="12" max="12" width="14" style="1" bestFit="1" customWidth="1"/>
    <col min="13" max="13" width="15.140625" style="1" customWidth="1"/>
    <col min="14" max="14" width="17.140625" style="1" customWidth="1"/>
    <col min="15" max="15" width="21.5703125" style="1" customWidth="1"/>
    <col min="16" max="16" width="23.140625" style="1" customWidth="1"/>
    <col min="17" max="17" width="26" style="1" customWidth="1"/>
  </cols>
  <sheetData>
    <row r="1" spans="2:17" x14ac:dyDescent="0.25">
      <c r="K1" s="1" t="s">
        <v>253</v>
      </c>
    </row>
    <row r="2" spans="2:17" x14ac:dyDescent="0.25">
      <c r="B2" t="s">
        <v>5</v>
      </c>
      <c r="C2" s="97" t="s">
        <v>172</v>
      </c>
      <c r="D2" s="97"/>
      <c r="E2" s="97"/>
      <c r="F2" s="97"/>
      <c r="G2" s="97"/>
      <c r="H2" s="97"/>
      <c r="I2" s="5" t="s">
        <v>171</v>
      </c>
      <c r="K2" s="53"/>
    </row>
    <row r="3" spans="2:17" x14ac:dyDescent="0.25">
      <c r="C3" s="15" t="s">
        <v>170</v>
      </c>
    </row>
    <row r="7" spans="2:17" x14ac:dyDescent="0.25">
      <c r="C7" s="4" t="s">
        <v>7</v>
      </c>
      <c r="I7" s="5" t="s">
        <v>169</v>
      </c>
    </row>
    <row r="8" spans="2:17" ht="15.75" thickBot="1" x14ac:dyDescent="0.3">
      <c r="C8" s="8" t="s">
        <v>8</v>
      </c>
      <c r="D8" s="9" t="s">
        <v>11</v>
      </c>
      <c r="I8" s="6" t="s">
        <v>8</v>
      </c>
      <c r="J8" s="6" t="s">
        <v>9</v>
      </c>
      <c r="K8" s="6" t="s">
        <v>10</v>
      </c>
      <c r="L8" s="6" t="s">
        <v>11</v>
      </c>
      <c r="M8" s="6" t="s">
        <v>12</v>
      </c>
      <c r="N8" s="6" t="s">
        <v>13</v>
      </c>
      <c r="O8" s="6" t="s">
        <v>14</v>
      </c>
      <c r="P8" s="6" t="s">
        <v>15</v>
      </c>
      <c r="Q8" s="7" t="s">
        <v>16</v>
      </c>
    </row>
    <row r="9" spans="2:17" ht="15.75" thickTop="1" x14ac:dyDescent="0.25">
      <c r="C9" s="14" t="s">
        <v>109</v>
      </c>
      <c r="D9" s="16" t="str">
        <f>VLOOKUP(C9,$I$8:$Q$58,4,0)</f>
        <v>Santa Fe</v>
      </c>
      <c r="I9" s="10" t="s">
        <v>17</v>
      </c>
      <c r="J9" s="10" t="s">
        <v>18</v>
      </c>
      <c r="K9" s="10">
        <v>1819</v>
      </c>
      <c r="L9" s="10" t="s">
        <v>19</v>
      </c>
      <c r="M9" s="10">
        <v>1846</v>
      </c>
      <c r="N9" s="10">
        <v>155.4</v>
      </c>
      <c r="O9" s="10" t="s">
        <v>20</v>
      </c>
      <c r="P9" s="10">
        <v>205764</v>
      </c>
      <c r="Q9" s="11">
        <v>374536</v>
      </c>
    </row>
    <row r="10" spans="2:17" x14ac:dyDescent="0.25">
      <c r="C10" s="14" t="s">
        <v>97</v>
      </c>
      <c r="D10" s="16" t="str">
        <f t="shared" ref="D10:D33" si="0">VLOOKUP(C10,$I$8:$Q$58,4,0)</f>
        <v>Lincoln</v>
      </c>
      <c r="I10" s="10" t="s">
        <v>21</v>
      </c>
      <c r="J10" s="10" t="s">
        <v>22</v>
      </c>
      <c r="K10" s="10">
        <v>1959</v>
      </c>
      <c r="L10" s="10" t="s">
        <v>23</v>
      </c>
      <c r="M10" s="10">
        <v>1906</v>
      </c>
      <c r="N10" s="10">
        <v>2716.7</v>
      </c>
      <c r="O10" s="10" t="s">
        <v>20</v>
      </c>
      <c r="P10" s="10">
        <v>31275</v>
      </c>
      <c r="Q10" s="11"/>
    </row>
    <row r="11" spans="2:17" x14ac:dyDescent="0.25">
      <c r="C11" s="14" t="s">
        <v>70</v>
      </c>
      <c r="D11" s="16" t="str">
        <f t="shared" si="0"/>
        <v>Baton Rouge</v>
      </c>
      <c r="I11" s="10" t="s">
        <v>24</v>
      </c>
      <c r="J11" s="10" t="s">
        <v>25</v>
      </c>
      <c r="K11" s="10">
        <v>1912</v>
      </c>
      <c r="L11" s="10" t="s">
        <v>26</v>
      </c>
      <c r="M11" s="10">
        <v>1889</v>
      </c>
      <c r="N11" s="10">
        <v>474.9</v>
      </c>
      <c r="O11" s="10" t="s">
        <v>27</v>
      </c>
      <c r="P11" s="10">
        <v>1445632</v>
      </c>
      <c r="Q11" s="11">
        <v>4192887</v>
      </c>
    </row>
    <row r="12" spans="2:17" x14ac:dyDescent="0.25">
      <c r="C12" s="14" t="s">
        <v>133</v>
      </c>
      <c r="D12" s="16" t="str">
        <f t="shared" si="0"/>
        <v>Providence</v>
      </c>
      <c r="I12" s="10" t="s">
        <v>28</v>
      </c>
      <c r="J12" s="10" t="s">
        <v>29</v>
      </c>
      <c r="K12" s="10">
        <v>1836</v>
      </c>
      <c r="L12" s="10" t="s">
        <v>30</v>
      </c>
      <c r="M12" s="10">
        <v>1821</v>
      </c>
      <c r="N12" s="10">
        <v>116.2</v>
      </c>
      <c r="O12" s="10" t="s">
        <v>27</v>
      </c>
      <c r="P12" s="10">
        <v>193524</v>
      </c>
      <c r="Q12" s="11">
        <v>877091</v>
      </c>
    </row>
    <row r="13" spans="2:17" x14ac:dyDescent="0.25">
      <c r="C13" s="14" t="s">
        <v>40</v>
      </c>
      <c r="D13" s="16" t="str">
        <f t="shared" si="0"/>
        <v>Dover</v>
      </c>
      <c r="I13" s="10" t="s">
        <v>31</v>
      </c>
      <c r="J13" s="10" t="s">
        <v>32</v>
      </c>
      <c r="K13" s="10">
        <v>1850</v>
      </c>
      <c r="L13" s="10" t="s">
        <v>33</v>
      </c>
      <c r="M13" s="10">
        <v>1854</v>
      </c>
      <c r="N13" s="10">
        <v>97.2</v>
      </c>
      <c r="O13" s="10" t="s">
        <v>20</v>
      </c>
      <c r="P13" s="10">
        <v>466488</v>
      </c>
      <c r="Q13" s="11">
        <v>2527123</v>
      </c>
    </row>
    <row r="14" spans="2:17" x14ac:dyDescent="0.25">
      <c r="C14" s="14" t="s">
        <v>88</v>
      </c>
      <c r="D14" s="16" t="str">
        <f t="shared" si="0"/>
        <v>Jackson</v>
      </c>
      <c r="I14" s="10" t="s">
        <v>34</v>
      </c>
      <c r="J14" s="10" t="s">
        <v>35</v>
      </c>
      <c r="K14" s="10">
        <v>1876</v>
      </c>
      <c r="L14" s="10" t="s">
        <v>36</v>
      </c>
      <c r="M14" s="10">
        <v>1867</v>
      </c>
      <c r="N14" s="10">
        <v>153.4</v>
      </c>
      <c r="O14" s="10" t="s">
        <v>27</v>
      </c>
      <c r="P14" s="10">
        <v>600158</v>
      </c>
      <c r="Q14" s="11">
        <v>2552195</v>
      </c>
    </row>
    <row r="15" spans="2:17" x14ac:dyDescent="0.25">
      <c r="C15" s="14" t="s">
        <v>130</v>
      </c>
      <c r="D15" s="16" t="str">
        <f t="shared" si="0"/>
        <v>Harrisburg</v>
      </c>
      <c r="I15" s="10" t="s">
        <v>37</v>
      </c>
      <c r="J15" s="10" t="s">
        <v>38</v>
      </c>
      <c r="K15" s="10">
        <v>1788</v>
      </c>
      <c r="L15" s="10" t="s">
        <v>39</v>
      </c>
      <c r="M15" s="10">
        <v>1875</v>
      </c>
      <c r="N15" s="10">
        <v>17.3</v>
      </c>
      <c r="O15" s="10" t="s">
        <v>20</v>
      </c>
      <c r="P15" s="10">
        <v>124512</v>
      </c>
      <c r="Q15" s="11">
        <v>1212381</v>
      </c>
    </row>
    <row r="16" spans="2:17" x14ac:dyDescent="0.25">
      <c r="C16" s="14" t="s">
        <v>94</v>
      </c>
      <c r="D16" s="16" t="str">
        <f t="shared" si="0"/>
        <v>Helena</v>
      </c>
      <c r="I16" s="10" t="s">
        <v>40</v>
      </c>
      <c r="J16" s="10" t="s">
        <v>41</v>
      </c>
      <c r="K16" s="10">
        <v>1787</v>
      </c>
      <c r="L16" s="10" t="s">
        <v>42</v>
      </c>
      <c r="M16" s="10">
        <v>1777</v>
      </c>
      <c r="N16" s="10">
        <v>22.4</v>
      </c>
      <c r="O16" s="10" t="s">
        <v>20</v>
      </c>
      <c r="P16" s="10">
        <v>36047</v>
      </c>
      <c r="Q16" s="11">
        <v>162310</v>
      </c>
    </row>
    <row r="17" spans="3:17" x14ac:dyDescent="0.25">
      <c r="C17" s="14" t="s">
        <v>112</v>
      </c>
      <c r="D17" s="16" t="str">
        <f t="shared" si="0"/>
        <v>Albany</v>
      </c>
      <c r="I17" s="10" t="s">
        <v>43</v>
      </c>
      <c r="J17" s="10" t="s">
        <v>44</v>
      </c>
      <c r="K17" s="10">
        <v>1845</v>
      </c>
      <c r="L17" s="10" t="s">
        <v>45</v>
      </c>
      <c r="M17" s="10">
        <v>1824</v>
      </c>
      <c r="N17" s="10">
        <v>95.7</v>
      </c>
      <c r="O17" s="10" t="s">
        <v>20</v>
      </c>
      <c r="P17" s="10">
        <v>181412</v>
      </c>
      <c r="Q17" s="11">
        <v>367413</v>
      </c>
    </row>
    <row r="18" spans="3:17" x14ac:dyDescent="0.25">
      <c r="C18" s="14" t="s">
        <v>139</v>
      </c>
      <c r="D18" s="16" t="str">
        <f t="shared" si="0"/>
        <v>Pierre</v>
      </c>
      <c r="I18" s="10" t="s">
        <v>46</v>
      </c>
      <c r="J18" s="10" t="s">
        <v>47</v>
      </c>
      <c r="K18" s="10">
        <v>1788</v>
      </c>
      <c r="L18" s="10" t="s">
        <v>48</v>
      </c>
      <c r="M18" s="10">
        <v>1868</v>
      </c>
      <c r="N18" s="10">
        <v>131.69999999999999</v>
      </c>
      <c r="O18" s="10" t="s">
        <v>27</v>
      </c>
      <c r="P18" s="10">
        <v>420003</v>
      </c>
      <c r="Q18" s="11">
        <v>5268860</v>
      </c>
    </row>
    <row r="19" spans="3:17" x14ac:dyDescent="0.25">
      <c r="C19" s="14" t="s">
        <v>154</v>
      </c>
      <c r="D19" s="16" t="str">
        <f t="shared" si="0"/>
        <v>Richmond</v>
      </c>
      <c r="I19" s="10" t="s">
        <v>49</v>
      </c>
      <c r="J19" s="10" t="s">
        <v>50</v>
      </c>
      <c r="K19" s="10">
        <v>1959</v>
      </c>
      <c r="L19" s="10" t="s">
        <v>51</v>
      </c>
      <c r="M19" s="10">
        <v>1845</v>
      </c>
      <c r="N19" s="10">
        <v>85.7</v>
      </c>
      <c r="O19" s="10" t="s">
        <v>27</v>
      </c>
      <c r="P19" s="10">
        <v>337256</v>
      </c>
      <c r="Q19" s="11">
        <v>953207</v>
      </c>
    </row>
    <row r="20" spans="3:17" x14ac:dyDescent="0.25">
      <c r="C20" s="14" t="s">
        <v>85</v>
      </c>
      <c r="D20" s="16" t="str">
        <f t="shared" si="0"/>
        <v>Saint Paul</v>
      </c>
      <c r="I20" s="10" t="s">
        <v>52</v>
      </c>
      <c r="J20" s="10" t="s">
        <v>53</v>
      </c>
      <c r="K20" s="10">
        <v>1890</v>
      </c>
      <c r="L20" s="10" t="s">
        <v>54</v>
      </c>
      <c r="M20" s="10">
        <v>1865</v>
      </c>
      <c r="N20" s="10">
        <v>63.8</v>
      </c>
      <c r="O20" s="10" t="s">
        <v>27</v>
      </c>
      <c r="P20" s="10">
        <v>205671</v>
      </c>
      <c r="Q20" s="11">
        <v>616561</v>
      </c>
    </row>
    <row r="21" spans="3:17" x14ac:dyDescent="0.25">
      <c r="C21" s="14" t="s">
        <v>28</v>
      </c>
      <c r="D21" s="16" t="str">
        <f t="shared" si="0"/>
        <v>Little Rock</v>
      </c>
      <c r="I21" s="10" t="s">
        <v>55</v>
      </c>
      <c r="J21" s="10" t="s">
        <v>56</v>
      </c>
      <c r="K21" s="10">
        <v>1818</v>
      </c>
      <c r="L21" s="10" t="s">
        <v>57</v>
      </c>
      <c r="M21" s="10">
        <v>1837</v>
      </c>
      <c r="N21" s="10">
        <v>54</v>
      </c>
      <c r="O21" s="10" t="s">
        <v>20</v>
      </c>
      <c r="P21" s="10">
        <v>116250</v>
      </c>
      <c r="Q21" s="11">
        <v>208182</v>
      </c>
    </row>
    <row r="22" spans="3:17" x14ac:dyDescent="0.25">
      <c r="C22" s="14" t="s">
        <v>73</v>
      </c>
      <c r="D22" s="16" t="str">
        <f t="shared" si="0"/>
        <v>Augusta</v>
      </c>
      <c r="I22" s="10" t="s">
        <v>58</v>
      </c>
      <c r="J22" s="10" t="s">
        <v>59</v>
      </c>
      <c r="K22" s="10">
        <v>1816</v>
      </c>
      <c r="L22" s="10" t="s">
        <v>60</v>
      </c>
      <c r="M22" s="10">
        <v>1825</v>
      </c>
      <c r="N22" s="10">
        <v>361.5</v>
      </c>
      <c r="O22" s="10" t="s">
        <v>27</v>
      </c>
      <c r="P22" s="10">
        <v>829718</v>
      </c>
      <c r="Q22" s="11">
        <v>1756221</v>
      </c>
    </row>
    <row r="23" spans="3:17" x14ac:dyDescent="0.25">
      <c r="C23" s="14" t="s">
        <v>103</v>
      </c>
      <c r="D23" s="16" t="str">
        <f t="shared" si="0"/>
        <v>Concord</v>
      </c>
      <c r="I23" s="10" t="s">
        <v>61</v>
      </c>
      <c r="J23" s="10" t="s">
        <v>62</v>
      </c>
      <c r="K23" s="10">
        <v>1846</v>
      </c>
      <c r="L23" s="10" t="s">
        <v>63</v>
      </c>
      <c r="M23" s="10">
        <v>1857</v>
      </c>
      <c r="N23" s="10">
        <v>75.8</v>
      </c>
      <c r="O23" s="10" t="s">
        <v>27</v>
      </c>
      <c r="P23" s="10">
        <v>203433</v>
      </c>
      <c r="Q23" s="11">
        <v>580255</v>
      </c>
    </row>
    <row r="24" spans="3:17" x14ac:dyDescent="0.25">
      <c r="C24" s="14" t="s">
        <v>160</v>
      </c>
      <c r="D24" s="16" t="str">
        <f t="shared" si="0"/>
        <v>Charleston</v>
      </c>
      <c r="I24" s="10" t="s">
        <v>64</v>
      </c>
      <c r="J24" s="10" t="s">
        <v>65</v>
      </c>
      <c r="K24" s="10">
        <v>1861</v>
      </c>
      <c r="L24" s="10" t="s">
        <v>66</v>
      </c>
      <c r="M24" s="10">
        <v>1856</v>
      </c>
      <c r="N24" s="10">
        <v>56</v>
      </c>
      <c r="O24" s="10" t="s">
        <v>20</v>
      </c>
      <c r="P24" s="10">
        <v>127473</v>
      </c>
      <c r="Q24" s="11">
        <v>230824</v>
      </c>
    </row>
    <row r="25" spans="3:17" x14ac:dyDescent="0.25">
      <c r="C25" s="14" t="s">
        <v>17</v>
      </c>
      <c r="D25" s="16" t="str">
        <f t="shared" si="0"/>
        <v>Montgomery</v>
      </c>
      <c r="I25" s="10" t="s">
        <v>67</v>
      </c>
      <c r="J25" s="10" t="s">
        <v>68</v>
      </c>
      <c r="K25" s="10">
        <v>1792</v>
      </c>
      <c r="L25" s="10" t="s">
        <v>69</v>
      </c>
      <c r="M25" s="10">
        <v>1792</v>
      </c>
      <c r="N25" s="10">
        <v>14.7</v>
      </c>
      <c r="O25" s="10" t="s">
        <v>20</v>
      </c>
      <c r="P25" s="10">
        <v>25527</v>
      </c>
      <c r="Q25" s="11">
        <v>70758</v>
      </c>
    </row>
    <row r="26" spans="3:17" x14ac:dyDescent="0.25">
      <c r="C26" s="14" t="s">
        <v>91</v>
      </c>
      <c r="D26" s="16" t="str">
        <f t="shared" si="0"/>
        <v>Jefferson City</v>
      </c>
      <c r="I26" s="10" t="s">
        <v>70</v>
      </c>
      <c r="J26" s="10" t="s">
        <v>71</v>
      </c>
      <c r="K26" s="10">
        <v>1812</v>
      </c>
      <c r="L26" s="10" t="s">
        <v>72</v>
      </c>
      <c r="M26" s="10">
        <v>1880</v>
      </c>
      <c r="N26" s="10">
        <v>76.8</v>
      </c>
      <c r="O26" s="10" t="s">
        <v>20</v>
      </c>
      <c r="P26" s="10">
        <v>229553</v>
      </c>
      <c r="Q26" s="11">
        <v>802484</v>
      </c>
    </row>
    <row r="27" spans="3:17" x14ac:dyDescent="0.25">
      <c r="C27" s="14" t="s">
        <v>127</v>
      </c>
      <c r="D27" s="16" t="str">
        <f t="shared" si="0"/>
        <v>Salem</v>
      </c>
      <c r="I27" s="10" t="s">
        <v>73</v>
      </c>
      <c r="J27" s="10" t="s">
        <v>74</v>
      </c>
      <c r="K27" s="10">
        <v>1820</v>
      </c>
      <c r="L27" s="10" t="s">
        <v>75</v>
      </c>
      <c r="M27" s="10">
        <v>1832</v>
      </c>
      <c r="N27" s="10">
        <v>55.4</v>
      </c>
      <c r="O27" s="10" t="s">
        <v>20</v>
      </c>
      <c r="P27" s="10">
        <v>19136</v>
      </c>
      <c r="Q27" s="11">
        <v>117114</v>
      </c>
    </row>
    <row r="28" spans="3:17" x14ac:dyDescent="0.25">
      <c r="C28" s="14" t="s">
        <v>166</v>
      </c>
      <c r="D28" s="16" t="str">
        <f t="shared" si="0"/>
        <v>Cheyenne</v>
      </c>
      <c r="I28" s="10" t="s">
        <v>76</v>
      </c>
      <c r="J28" s="10" t="s">
        <v>77</v>
      </c>
      <c r="K28" s="10">
        <v>1788</v>
      </c>
      <c r="L28" s="10" t="s">
        <v>78</v>
      </c>
      <c r="M28" s="10">
        <v>1694</v>
      </c>
      <c r="N28" s="10">
        <v>6.73</v>
      </c>
      <c r="O28" s="10" t="s">
        <v>20</v>
      </c>
      <c r="P28" s="10">
        <v>38394</v>
      </c>
      <c r="Q28" s="11"/>
    </row>
    <row r="29" spans="3:17" x14ac:dyDescent="0.25">
      <c r="C29" s="14" t="s">
        <v>67</v>
      </c>
      <c r="D29" s="16" t="str">
        <f t="shared" si="0"/>
        <v>Frankfort</v>
      </c>
      <c r="I29" s="10" t="s">
        <v>79</v>
      </c>
      <c r="J29" s="10" t="s">
        <v>80</v>
      </c>
      <c r="K29" s="10">
        <v>1788</v>
      </c>
      <c r="L29" s="10" t="s">
        <v>81</v>
      </c>
      <c r="M29" s="10">
        <v>1630</v>
      </c>
      <c r="N29" s="10">
        <v>48.4</v>
      </c>
      <c r="O29" s="10" t="s">
        <v>27</v>
      </c>
      <c r="P29" s="10">
        <v>617594</v>
      </c>
      <c r="Q29" s="11">
        <v>4522858</v>
      </c>
    </row>
    <row r="30" spans="3:17" x14ac:dyDescent="0.25">
      <c r="C30" s="14" t="s">
        <v>142</v>
      </c>
      <c r="D30" s="16" t="str">
        <f t="shared" si="0"/>
        <v>Nashville</v>
      </c>
      <c r="I30" s="10" t="s">
        <v>82</v>
      </c>
      <c r="J30" s="10" t="s">
        <v>83</v>
      </c>
      <c r="K30" s="10">
        <v>1837</v>
      </c>
      <c r="L30" s="10" t="s">
        <v>84</v>
      </c>
      <c r="M30" s="10">
        <v>1847</v>
      </c>
      <c r="N30" s="10">
        <v>35</v>
      </c>
      <c r="O30" s="10" t="s">
        <v>20</v>
      </c>
      <c r="P30" s="10">
        <v>114297</v>
      </c>
      <c r="Q30" s="11">
        <v>464036</v>
      </c>
    </row>
    <row r="31" spans="3:17" x14ac:dyDescent="0.25">
      <c r="C31" s="14" t="s">
        <v>100</v>
      </c>
      <c r="D31" s="16" t="str">
        <f t="shared" si="0"/>
        <v>Carson City</v>
      </c>
      <c r="I31" s="10" t="s">
        <v>85</v>
      </c>
      <c r="J31" s="10" t="s">
        <v>86</v>
      </c>
      <c r="K31" s="10">
        <v>1858</v>
      </c>
      <c r="L31" s="10" t="s">
        <v>87</v>
      </c>
      <c r="M31" s="10">
        <v>1849</v>
      </c>
      <c r="N31" s="10">
        <v>52.8</v>
      </c>
      <c r="O31" s="10" t="s">
        <v>20</v>
      </c>
      <c r="P31" s="10">
        <v>285068</v>
      </c>
      <c r="Q31" s="11">
        <v>3502891</v>
      </c>
    </row>
    <row r="32" spans="3:17" x14ac:dyDescent="0.25">
      <c r="C32" s="14" t="s">
        <v>106</v>
      </c>
      <c r="D32" s="16" t="str">
        <f t="shared" si="0"/>
        <v>Trenton</v>
      </c>
      <c r="I32" s="10" t="s">
        <v>88</v>
      </c>
      <c r="J32" s="10" t="s">
        <v>89</v>
      </c>
      <c r="K32" s="10">
        <v>1817</v>
      </c>
      <c r="L32" s="10" t="s">
        <v>90</v>
      </c>
      <c r="M32" s="10">
        <v>1821</v>
      </c>
      <c r="N32" s="10">
        <v>104.9</v>
      </c>
      <c r="O32" s="10" t="s">
        <v>27</v>
      </c>
      <c r="P32" s="10">
        <v>173514</v>
      </c>
      <c r="Q32" s="11">
        <v>539057</v>
      </c>
    </row>
    <row r="33" spans="3:17" x14ac:dyDescent="0.25">
      <c r="C33" s="14" t="s">
        <v>43</v>
      </c>
      <c r="D33" s="16" t="str">
        <f t="shared" si="0"/>
        <v>Tallahassee</v>
      </c>
      <c r="I33" s="10" t="s">
        <v>91</v>
      </c>
      <c r="J33" s="10" t="s">
        <v>92</v>
      </c>
      <c r="K33" s="10">
        <v>1821</v>
      </c>
      <c r="L33" s="10" t="s">
        <v>93</v>
      </c>
      <c r="M33" s="10">
        <v>1826</v>
      </c>
      <c r="N33" s="10">
        <v>27.3</v>
      </c>
      <c r="O33" s="10" t="s">
        <v>20</v>
      </c>
      <c r="P33" s="10">
        <v>43079</v>
      </c>
      <c r="Q33" s="11">
        <v>149807</v>
      </c>
    </row>
    <row r="34" spans="3:17" x14ac:dyDescent="0.25">
      <c r="I34" s="10" t="s">
        <v>94</v>
      </c>
      <c r="J34" s="10" t="s">
        <v>95</v>
      </c>
      <c r="K34" s="10">
        <v>1889</v>
      </c>
      <c r="L34" s="10" t="s">
        <v>96</v>
      </c>
      <c r="M34" s="10">
        <v>1875</v>
      </c>
      <c r="N34" s="10">
        <v>14</v>
      </c>
      <c r="O34" s="10" t="s">
        <v>20</v>
      </c>
      <c r="P34" s="10">
        <v>28190</v>
      </c>
      <c r="Q34" s="11">
        <v>74801</v>
      </c>
    </row>
    <row r="35" spans="3:17" x14ac:dyDescent="0.25">
      <c r="I35" s="10" t="s">
        <v>97</v>
      </c>
      <c r="J35" s="10" t="s">
        <v>98</v>
      </c>
      <c r="K35" s="10">
        <v>1867</v>
      </c>
      <c r="L35" s="10" t="s">
        <v>99</v>
      </c>
      <c r="M35" s="10">
        <v>1867</v>
      </c>
      <c r="N35" s="10">
        <v>74.599999999999994</v>
      </c>
      <c r="O35" s="10" t="s">
        <v>20</v>
      </c>
      <c r="P35" s="10">
        <v>258379</v>
      </c>
      <c r="Q35" s="11">
        <v>302157</v>
      </c>
    </row>
    <row r="36" spans="3:17" x14ac:dyDescent="0.25">
      <c r="I36" s="10" t="s">
        <v>100</v>
      </c>
      <c r="J36" s="10" t="s">
        <v>101</v>
      </c>
      <c r="K36" s="10">
        <v>1864</v>
      </c>
      <c r="L36" s="10" t="s">
        <v>102</v>
      </c>
      <c r="M36" s="10">
        <v>1861</v>
      </c>
      <c r="N36" s="10">
        <v>143.4</v>
      </c>
      <c r="O36" s="10" t="s">
        <v>20</v>
      </c>
      <c r="P36" s="10">
        <v>55274</v>
      </c>
      <c r="Q36" s="11"/>
    </row>
    <row r="37" spans="3:17" x14ac:dyDescent="0.25">
      <c r="I37" s="10" t="s">
        <v>103</v>
      </c>
      <c r="J37" s="10" t="s">
        <v>104</v>
      </c>
      <c r="K37" s="10">
        <v>1788</v>
      </c>
      <c r="L37" s="10" t="s">
        <v>105</v>
      </c>
      <c r="M37" s="10">
        <v>1808</v>
      </c>
      <c r="N37" s="10">
        <v>64.3</v>
      </c>
      <c r="O37" s="10" t="s">
        <v>20</v>
      </c>
      <c r="P37" s="10">
        <v>42695</v>
      </c>
      <c r="Q37" s="11"/>
    </row>
    <row r="38" spans="3:17" x14ac:dyDescent="0.25">
      <c r="I38" s="10" t="s">
        <v>106</v>
      </c>
      <c r="J38" s="10" t="s">
        <v>107</v>
      </c>
      <c r="K38" s="10">
        <v>1787</v>
      </c>
      <c r="L38" s="10" t="s">
        <v>108</v>
      </c>
      <c r="M38" s="10">
        <v>1784</v>
      </c>
      <c r="N38" s="10">
        <v>7.66</v>
      </c>
      <c r="O38" s="10" t="s">
        <v>20</v>
      </c>
      <c r="P38" s="10">
        <v>84913</v>
      </c>
      <c r="Q38" s="11">
        <v>366513</v>
      </c>
    </row>
    <row r="39" spans="3:17" x14ac:dyDescent="0.25">
      <c r="I39" s="10" t="s">
        <v>109</v>
      </c>
      <c r="J39" s="10" t="s">
        <v>110</v>
      </c>
      <c r="K39" s="10">
        <v>1912</v>
      </c>
      <c r="L39" s="10" t="s">
        <v>111</v>
      </c>
      <c r="M39" s="10">
        <v>1610</v>
      </c>
      <c r="N39" s="10">
        <v>37.299999999999997</v>
      </c>
      <c r="O39" s="10" t="s">
        <v>20</v>
      </c>
      <c r="P39" s="10">
        <v>75764</v>
      </c>
      <c r="Q39" s="11">
        <v>183732</v>
      </c>
    </row>
    <row r="40" spans="3:17" x14ac:dyDescent="0.25">
      <c r="I40" s="10" t="s">
        <v>112</v>
      </c>
      <c r="J40" s="10" t="s">
        <v>113</v>
      </c>
      <c r="K40" s="10">
        <v>1788</v>
      </c>
      <c r="L40" s="10" t="s">
        <v>114</v>
      </c>
      <c r="M40" s="10">
        <v>1797</v>
      </c>
      <c r="N40" s="10">
        <v>21.4</v>
      </c>
      <c r="O40" s="10" t="s">
        <v>20</v>
      </c>
      <c r="P40" s="10">
        <v>97856</v>
      </c>
      <c r="Q40" s="11">
        <v>857592</v>
      </c>
    </row>
    <row r="41" spans="3:17" x14ac:dyDescent="0.25">
      <c r="I41" s="10" t="s">
        <v>115</v>
      </c>
      <c r="J41" s="10" t="s">
        <v>116</v>
      </c>
      <c r="K41" s="10">
        <v>1789</v>
      </c>
      <c r="L41" s="10" t="s">
        <v>117</v>
      </c>
      <c r="M41" s="10">
        <v>1792</v>
      </c>
      <c r="N41" s="10">
        <v>114.6</v>
      </c>
      <c r="O41" s="10" t="s">
        <v>20</v>
      </c>
      <c r="P41" s="10">
        <v>403892</v>
      </c>
      <c r="Q41" s="11">
        <v>1130490</v>
      </c>
    </row>
    <row r="42" spans="3:17" x14ac:dyDescent="0.25">
      <c r="I42" s="10" t="s">
        <v>118</v>
      </c>
      <c r="J42" s="10" t="s">
        <v>119</v>
      </c>
      <c r="K42" s="10">
        <v>1889</v>
      </c>
      <c r="L42" s="10" t="s">
        <v>120</v>
      </c>
      <c r="M42" s="10">
        <v>1883</v>
      </c>
      <c r="N42" s="10">
        <v>26.9</v>
      </c>
      <c r="O42" s="10" t="s">
        <v>20</v>
      </c>
      <c r="P42" s="10">
        <v>61272</v>
      </c>
      <c r="Q42" s="11">
        <v>108779</v>
      </c>
    </row>
    <row r="43" spans="3:17" x14ac:dyDescent="0.25">
      <c r="I43" s="10" t="s">
        <v>121</v>
      </c>
      <c r="J43" s="10" t="s">
        <v>122</v>
      </c>
      <c r="K43" s="10">
        <v>1803</v>
      </c>
      <c r="L43" s="10" t="s">
        <v>123</v>
      </c>
      <c r="M43" s="10">
        <v>1816</v>
      </c>
      <c r="N43" s="10">
        <v>210.3</v>
      </c>
      <c r="O43" s="10" t="s">
        <v>27</v>
      </c>
      <c r="P43" s="10">
        <v>787033</v>
      </c>
      <c r="Q43" s="11">
        <v>1836536</v>
      </c>
    </row>
    <row r="44" spans="3:17" x14ac:dyDescent="0.25">
      <c r="I44" s="10" t="s">
        <v>124</v>
      </c>
      <c r="J44" s="10" t="s">
        <v>125</v>
      </c>
      <c r="K44" s="10">
        <v>1907</v>
      </c>
      <c r="L44" s="10" t="s">
        <v>126</v>
      </c>
      <c r="M44" s="10">
        <v>1910</v>
      </c>
      <c r="N44" s="10">
        <v>607</v>
      </c>
      <c r="O44" s="10" t="s">
        <v>27</v>
      </c>
      <c r="P44" s="10">
        <v>580000</v>
      </c>
      <c r="Q44" s="11">
        <v>1252987</v>
      </c>
    </row>
    <row r="45" spans="3:17" x14ac:dyDescent="0.25">
      <c r="I45" s="10" t="s">
        <v>127</v>
      </c>
      <c r="J45" s="10" t="s">
        <v>128</v>
      </c>
      <c r="K45" s="10">
        <v>1859</v>
      </c>
      <c r="L45" s="10" t="s">
        <v>129</v>
      </c>
      <c r="M45" s="10">
        <v>1855</v>
      </c>
      <c r="N45" s="10">
        <v>45.7</v>
      </c>
      <c r="O45" s="10" t="s">
        <v>20</v>
      </c>
      <c r="P45" s="10">
        <v>154637</v>
      </c>
      <c r="Q45" s="11">
        <v>390738</v>
      </c>
    </row>
    <row r="46" spans="3:17" x14ac:dyDescent="0.25">
      <c r="I46" s="10" t="s">
        <v>130</v>
      </c>
      <c r="J46" s="10" t="s">
        <v>131</v>
      </c>
      <c r="K46" s="10">
        <v>1787</v>
      </c>
      <c r="L46" s="10" t="s">
        <v>132</v>
      </c>
      <c r="M46" s="10">
        <v>1812</v>
      </c>
      <c r="N46" s="10">
        <v>8.11</v>
      </c>
      <c r="O46" s="10" t="s">
        <v>20</v>
      </c>
      <c r="P46" s="10">
        <v>49528</v>
      </c>
      <c r="Q46" s="11">
        <v>647390</v>
      </c>
    </row>
    <row r="47" spans="3:17" x14ac:dyDescent="0.25">
      <c r="I47" s="10" t="s">
        <v>133</v>
      </c>
      <c r="J47" s="10" t="s">
        <v>134</v>
      </c>
      <c r="K47" s="10">
        <v>1790</v>
      </c>
      <c r="L47" s="10" t="s">
        <v>135</v>
      </c>
      <c r="M47" s="10">
        <v>1900</v>
      </c>
      <c r="N47" s="10">
        <v>18.5</v>
      </c>
      <c r="O47" s="10" t="s">
        <v>27</v>
      </c>
      <c r="P47" s="10">
        <v>178042</v>
      </c>
      <c r="Q47" s="11">
        <v>1630956</v>
      </c>
    </row>
    <row r="48" spans="3:17" x14ac:dyDescent="0.25">
      <c r="I48" s="10" t="s">
        <v>136</v>
      </c>
      <c r="J48" s="10" t="s">
        <v>137</v>
      </c>
      <c r="K48" s="10">
        <v>1788</v>
      </c>
      <c r="L48" s="10" t="s">
        <v>138</v>
      </c>
      <c r="M48" s="10">
        <v>1786</v>
      </c>
      <c r="N48" s="10">
        <v>125.2</v>
      </c>
      <c r="O48" s="10" t="s">
        <v>27</v>
      </c>
      <c r="P48" s="10">
        <v>131686</v>
      </c>
      <c r="Q48" s="11">
        <v>913797</v>
      </c>
    </row>
    <row r="49" spans="9:17" x14ac:dyDescent="0.25">
      <c r="I49" s="10" t="s">
        <v>139</v>
      </c>
      <c r="J49" s="10" t="s">
        <v>140</v>
      </c>
      <c r="K49" s="10">
        <v>1889</v>
      </c>
      <c r="L49" s="10" t="s">
        <v>141</v>
      </c>
      <c r="M49" s="10">
        <v>1889</v>
      </c>
      <c r="N49" s="10">
        <v>13</v>
      </c>
      <c r="O49" s="10" t="s">
        <v>20</v>
      </c>
      <c r="P49" s="10">
        <v>13646</v>
      </c>
      <c r="Q49" s="11"/>
    </row>
    <row r="50" spans="9:17" x14ac:dyDescent="0.25">
      <c r="I50" s="10" t="s">
        <v>142</v>
      </c>
      <c r="J50" s="10" t="s">
        <v>143</v>
      </c>
      <c r="K50" s="10">
        <v>1796</v>
      </c>
      <c r="L50" s="10" t="s">
        <v>144</v>
      </c>
      <c r="M50" s="10">
        <v>1826</v>
      </c>
      <c r="N50" s="10">
        <v>473.3</v>
      </c>
      <c r="O50" s="10" t="s">
        <v>20</v>
      </c>
      <c r="P50" s="10">
        <v>635710</v>
      </c>
      <c r="Q50" s="11">
        <v>1582264</v>
      </c>
    </row>
    <row r="51" spans="9:17" x14ac:dyDescent="0.25">
      <c r="I51" s="10" t="s">
        <v>145</v>
      </c>
      <c r="J51" s="10" t="s">
        <v>146</v>
      </c>
      <c r="K51" s="10">
        <v>1845</v>
      </c>
      <c r="L51" s="10" t="s">
        <v>147</v>
      </c>
      <c r="M51" s="10">
        <v>1839</v>
      </c>
      <c r="N51" s="10">
        <v>251.5</v>
      </c>
      <c r="O51" s="10" t="s">
        <v>20</v>
      </c>
      <c r="P51" s="10">
        <v>842592</v>
      </c>
      <c r="Q51" s="11">
        <v>1716291</v>
      </c>
    </row>
    <row r="52" spans="9:17" x14ac:dyDescent="0.25">
      <c r="I52" s="10" t="s">
        <v>148</v>
      </c>
      <c r="J52" s="10" t="s">
        <v>149</v>
      </c>
      <c r="K52" s="10">
        <v>1896</v>
      </c>
      <c r="L52" s="10" t="s">
        <v>150</v>
      </c>
      <c r="M52" s="10">
        <v>1858</v>
      </c>
      <c r="N52" s="10">
        <v>109.1</v>
      </c>
      <c r="O52" s="10" t="s">
        <v>27</v>
      </c>
      <c r="P52" s="10">
        <v>186440</v>
      </c>
      <c r="Q52" s="11">
        <v>1124197</v>
      </c>
    </row>
    <row r="53" spans="9:17" x14ac:dyDescent="0.25">
      <c r="I53" s="10" t="s">
        <v>151</v>
      </c>
      <c r="J53" s="10" t="s">
        <v>152</v>
      </c>
      <c r="K53" s="10">
        <v>1791</v>
      </c>
      <c r="L53" s="10" t="s">
        <v>153</v>
      </c>
      <c r="M53" s="10">
        <v>1805</v>
      </c>
      <c r="N53" s="10">
        <v>10.199999999999999</v>
      </c>
      <c r="O53" s="10" t="s">
        <v>20</v>
      </c>
      <c r="P53" s="10">
        <v>7855</v>
      </c>
      <c r="Q53" s="11"/>
    </row>
    <row r="54" spans="9:17" x14ac:dyDescent="0.25">
      <c r="I54" s="10" t="s">
        <v>154</v>
      </c>
      <c r="J54" s="10" t="s">
        <v>155</v>
      </c>
      <c r="K54" s="10">
        <v>1788</v>
      </c>
      <c r="L54" s="10" t="s">
        <v>156</v>
      </c>
      <c r="M54" s="10">
        <v>1780</v>
      </c>
      <c r="N54" s="10">
        <v>60.1</v>
      </c>
      <c r="O54" s="10" t="s">
        <v>20</v>
      </c>
      <c r="P54" s="10">
        <v>204214</v>
      </c>
      <c r="Q54" s="11">
        <v>1231675</v>
      </c>
    </row>
    <row r="55" spans="9:17" x14ac:dyDescent="0.25">
      <c r="I55" s="10" t="s">
        <v>157</v>
      </c>
      <c r="J55" s="10" t="s">
        <v>158</v>
      </c>
      <c r="K55" s="10">
        <v>1889</v>
      </c>
      <c r="L55" s="10" t="s">
        <v>159</v>
      </c>
      <c r="M55" s="10">
        <v>1853</v>
      </c>
      <c r="N55" s="10">
        <v>16.7</v>
      </c>
      <c r="O55" s="10" t="s">
        <v>20</v>
      </c>
      <c r="P55" s="10">
        <v>46478</v>
      </c>
      <c r="Q55" s="11">
        <v>234670</v>
      </c>
    </row>
    <row r="56" spans="9:17" x14ac:dyDescent="0.25">
      <c r="I56" s="10" t="s">
        <v>160</v>
      </c>
      <c r="J56" s="10" t="s">
        <v>161</v>
      </c>
      <c r="K56" s="10">
        <v>1863</v>
      </c>
      <c r="L56" s="10" t="s">
        <v>162</v>
      </c>
      <c r="M56" s="10">
        <v>1885</v>
      </c>
      <c r="N56" s="10">
        <v>31.6</v>
      </c>
      <c r="O56" s="10" t="s">
        <v>27</v>
      </c>
      <c r="P56" s="10">
        <v>51400</v>
      </c>
      <c r="Q56" s="11">
        <v>304214</v>
      </c>
    </row>
    <row r="57" spans="9:17" x14ac:dyDescent="0.25">
      <c r="I57" s="10" t="s">
        <v>163</v>
      </c>
      <c r="J57" s="10" t="s">
        <v>164</v>
      </c>
      <c r="K57" s="10">
        <v>1848</v>
      </c>
      <c r="L57" s="10" t="s">
        <v>165</v>
      </c>
      <c r="M57" s="10">
        <v>1838</v>
      </c>
      <c r="N57" s="10">
        <v>68.7</v>
      </c>
      <c r="O57" s="10" t="s">
        <v>20</v>
      </c>
      <c r="P57" s="10">
        <v>233209</v>
      </c>
      <c r="Q57" s="11">
        <v>561505</v>
      </c>
    </row>
    <row r="58" spans="9:17" x14ac:dyDescent="0.25">
      <c r="I58" s="12" t="s">
        <v>166</v>
      </c>
      <c r="J58" s="12" t="s">
        <v>167</v>
      </c>
      <c r="K58" s="12">
        <v>1890</v>
      </c>
      <c r="L58" s="12" t="s">
        <v>168</v>
      </c>
      <c r="M58" s="12">
        <v>1869</v>
      </c>
      <c r="N58" s="12">
        <v>21.1</v>
      </c>
      <c r="O58" s="12" t="s">
        <v>27</v>
      </c>
      <c r="P58" s="12">
        <v>59466</v>
      </c>
      <c r="Q58" s="13">
        <v>91738</v>
      </c>
    </row>
  </sheetData>
  <sheetProtection password="DC7B" sheet="1" objects="1" scenarios="1"/>
  <mergeCells count="1">
    <mergeCell ref="C2:H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58"/>
  <sheetViews>
    <sheetView showGridLines="0" showRowColHeaders="0" zoomScale="85" zoomScaleNormal="85" workbookViewId="0"/>
  </sheetViews>
  <sheetFormatPr defaultRowHeight="15" x14ac:dyDescent="0.25"/>
  <cols>
    <col min="3" max="3" width="18.28515625" customWidth="1"/>
    <col min="4" max="4" width="13.7109375" customWidth="1"/>
    <col min="9" max="9" width="15.28515625" style="1" bestFit="1" customWidth="1"/>
    <col min="10" max="10" width="6.7109375" style="1" customWidth="1"/>
    <col min="11" max="11" width="19.42578125" style="1" customWidth="1"/>
    <col min="12" max="12" width="14" style="1" bestFit="1" customWidth="1"/>
    <col min="13" max="13" width="15.140625" style="1" customWidth="1"/>
    <col min="14" max="14" width="17.140625" style="1" customWidth="1"/>
    <col min="15" max="15" width="21.5703125" style="1" customWidth="1"/>
    <col min="16" max="16" width="23.140625" style="1" customWidth="1"/>
    <col min="17" max="17" width="26" style="1" customWidth="1"/>
  </cols>
  <sheetData>
    <row r="1" spans="2:17" x14ac:dyDescent="0.25">
      <c r="K1" s="1" t="s">
        <v>253</v>
      </c>
    </row>
    <row r="2" spans="2:17" x14ac:dyDescent="0.25">
      <c r="B2" t="s">
        <v>174</v>
      </c>
      <c r="C2" s="97" t="s">
        <v>173</v>
      </c>
      <c r="D2" s="97"/>
      <c r="E2" s="97"/>
      <c r="F2" s="97"/>
      <c r="G2" s="97"/>
      <c r="H2" s="97"/>
      <c r="I2" s="5" t="s">
        <v>171</v>
      </c>
      <c r="K2" s="53"/>
    </row>
    <row r="3" spans="2:17" x14ac:dyDescent="0.25">
      <c r="C3" s="15" t="s">
        <v>170</v>
      </c>
    </row>
    <row r="7" spans="2:17" x14ac:dyDescent="0.25">
      <c r="C7" s="4" t="s">
        <v>7</v>
      </c>
      <c r="I7" s="5" t="s">
        <v>169</v>
      </c>
    </row>
    <row r="8" spans="2:17" ht="15.75" thickBot="1" x14ac:dyDescent="0.3">
      <c r="C8" s="8" t="s">
        <v>11</v>
      </c>
      <c r="D8" s="9" t="s">
        <v>8</v>
      </c>
      <c r="I8" s="6" t="s">
        <v>8</v>
      </c>
      <c r="J8" s="6" t="s">
        <v>9</v>
      </c>
      <c r="K8" s="6" t="s">
        <v>10</v>
      </c>
      <c r="L8" s="6" t="s">
        <v>11</v>
      </c>
      <c r="M8" s="6" t="s">
        <v>12</v>
      </c>
      <c r="N8" s="6" t="s">
        <v>13</v>
      </c>
      <c r="O8" s="6" t="s">
        <v>14</v>
      </c>
      <c r="P8" s="6" t="s">
        <v>15</v>
      </c>
      <c r="Q8" s="7" t="s">
        <v>16</v>
      </c>
    </row>
    <row r="9" spans="2:17" ht="15.75" thickTop="1" x14ac:dyDescent="0.25">
      <c r="C9" s="14" t="s">
        <v>87</v>
      </c>
      <c r="D9" s="16"/>
      <c r="I9" s="10" t="s">
        <v>17</v>
      </c>
      <c r="J9" s="10" t="s">
        <v>18</v>
      </c>
      <c r="K9" s="10">
        <v>1819</v>
      </c>
      <c r="L9" s="10" t="s">
        <v>19</v>
      </c>
      <c r="M9" s="10">
        <v>1846</v>
      </c>
      <c r="N9" s="10">
        <v>155.4</v>
      </c>
      <c r="O9" s="10" t="s">
        <v>20</v>
      </c>
      <c r="P9" s="10">
        <v>205764</v>
      </c>
      <c r="Q9" s="11">
        <v>374536</v>
      </c>
    </row>
    <row r="10" spans="2:17" x14ac:dyDescent="0.25">
      <c r="C10" s="14" t="s">
        <v>156</v>
      </c>
      <c r="D10" s="17"/>
      <c r="I10" s="10" t="s">
        <v>21</v>
      </c>
      <c r="J10" s="10" t="s">
        <v>22</v>
      </c>
      <c r="K10" s="10">
        <v>1959</v>
      </c>
      <c r="L10" s="10" t="s">
        <v>23</v>
      </c>
      <c r="M10" s="10">
        <v>1906</v>
      </c>
      <c r="N10" s="10">
        <v>2716.7</v>
      </c>
      <c r="O10" s="10" t="s">
        <v>20</v>
      </c>
      <c r="P10" s="10">
        <v>31275</v>
      </c>
      <c r="Q10" s="11"/>
    </row>
    <row r="11" spans="2:17" x14ac:dyDescent="0.25">
      <c r="C11" s="14" t="s">
        <v>19</v>
      </c>
      <c r="D11" s="16"/>
      <c r="I11" s="10" t="s">
        <v>24</v>
      </c>
      <c r="J11" s="10" t="s">
        <v>25</v>
      </c>
      <c r="K11" s="10">
        <v>1912</v>
      </c>
      <c r="L11" s="10" t="s">
        <v>26</v>
      </c>
      <c r="M11" s="10">
        <v>1889</v>
      </c>
      <c r="N11" s="10">
        <v>474.9</v>
      </c>
      <c r="O11" s="10" t="s">
        <v>27</v>
      </c>
      <c r="P11" s="10">
        <v>1445632</v>
      </c>
      <c r="Q11" s="11">
        <v>4192887</v>
      </c>
    </row>
    <row r="12" spans="2:17" x14ac:dyDescent="0.25">
      <c r="C12" s="14" t="s">
        <v>144</v>
      </c>
      <c r="D12" s="17"/>
      <c r="I12" s="10" t="s">
        <v>28</v>
      </c>
      <c r="J12" s="10" t="s">
        <v>29</v>
      </c>
      <c r="K12" s="10">
        <v>1836</v>
      </c>
      <c r="L12" s="10" t="s">
        <v>30</v>
      </c>
      <c r="M12" s="10">
        <v>1821</v>
      </c>
      <c r="N12" s="10">
        <v>116.2</v>
      </c>
      <c r="O12" s="10" t="s">
        <v>27</v>
      </c>
      <c r="P12" s="10">
        <v>193524</v>
      </c>
      <c r="Q12" s="11">
        <v>877091</v>
      </c>
    </row>
    <row r="13" spans="2:17" x14ac:dyDescent="0.25">
      <c r="C13" s="14" t="s">
        <v>63</v>
      </c>
      <c r="D13" s="16"/>
      <c r="I13" s="10" t="s">
        <v>31</v>
      </c>
      <c r="J13" s="10" t="s">
        <v>32</v>
      </c>
      <c r="K13" s="10">
        <v>1850</v>
      </c>
      <c r="L13" s="10" t="s">
        <v>33</v>
      </c>
      <c r="M13" s="10">
        <v>1854</v>
      </c>
      <c r="N13" s="10">
        <v>97.2</v>
      </c>
      <c r="O13" s="10" t="s">
        <v>20</v>
      </c>
      <c r="P13" s="10">
        <v>466488</v>
      </c>
      <c r="Q13" s="11">
        <v>2527123</v>
      </c>
    </row>
    <row r="14" spans="2:17" x14ac:dyDescent="0.25">
      <c r="C14" s="14" t="s">
        <v>105</v>
      </c>
      <c r="D14" s="17"/>
      <c r="I14" s="10" t="s">
        <v>34</v>
      </c>
      <c r="J14" s="10" t="s">
        <v>35</v>
      </c>
      <c r="K14" s="10">
        <v>1876</v>
      </c>
      <c r="L14" s="10" t="s">
        <v>36</v>
      </c>
      <c r="M14" s="10">
        <v>1867</v>
      </c>
      <c r="N14" s="10">
        <v>153.4</v>
      </c>
      <c r="O14" s="10" t="s">
        <v>27</v>
      </c>
      <c r="P14" s="10">
        <v>600158</v>
      </c>
      <c r="Q14" s="11">
        <v>2552195</v>
      </c>
    </row>
    <row r="15" spans="2:17" x14ac:dyDescent="0.25">
      <c r="C15" s="14" t="s">
        <v>114</v>
      </c>
      <c r="D15" s="16"/>
      <c r="I15" s="10" t="s">
        <v>37</v>
      </c>
      <c r="J15" s="10" t="s">
        <v>38</v>
      </c>
      <c r="K15" s="10">
        <v>1788</v>
      </c>
      <c r="L15" s="10" t="s">
        <v>39</v>
      </c>
      <c r="M15" s="10">
        <v>1875</v>
      </c>
      <c r="N15" s="10">
        <v>17.3</v>
      </c>
      <c r="O15" s="10" t="s">
        <v>20</v>
      </c>
      <c r="P15" s="10">
        <v>124512</v>
      </c>
      <c r="Q15" s="11">
        <v>1212381</v>
      </c>
    </row>
    <row r="16" spans="2:17" x14ac:dyDescent="0.25">
      <c r="C16" s="14" t="s">
        <v>123</v>
      </c>
      <c r="D16" s="17"/>
      <c r="I16" s="10" t="s">
        <v>40</v>
      </c>
      <c r="J16" s="10" t="s">
        <v>41</v>
      </c>
      <c r="K16" s="10">
        <v>1787</v>
      </c>
      <c r="L16" s="10" t="s">
        <v>42</v>
      </c>
      <c r="M16" s="10">
        <v>1777</v>
      </c>
      <c r="N16" s="10">
        <v>22.4</v>
      </c>
      <c r="O16" s="10" t="s">
        <v>20</v>
      </c>
      <c r="P16" s="10">
        <v>36047</v>
      </c>
      <c r="Q16" s="11">
        <v>162310</v>
      </c>
    </row>
    <row r="17" spans="3:17" x14ac:dyDescent="0.25">
      <c r="C17" s="14" t="s">
        <v>33</v>
      </c>
      <c r="D17" s="16"/>
      <c r="I17" s="10" t="s">
        <v>43</v>
      </c>
      <c r="J17" s="10" t="s">
        <v>44</v>
      </c>
      <c r="K17" s="10">
        <v>1845</v>
      </c>
      <c r="L17" s="10" t="s">
        <v>45</v>
      </c>
      <c r="M17" s="10">
        <v>1824</v>
      </c>
      <c r="N17" s="10">
        <v>95.7</v>
      </c>
      <c r="O17" s="10" t="s">
        <v>20</v>
      </c>
      <c r="P17" s="10">
        <v>181412</v>
      </c>
      <c r="Q17" s="11">
        <v>367413</v>
      </c>
    </row>
    <row r="18" spans="3:17" x14ac:dyDescent="0.25">
      <c r="C18" s="14" t="s">
        <v>39</v>
      </c>
      <c r="D18" s="17"/>
      <c r="I18" s="10" t="s">
        <v>46</v>
      </c>
      <c r="J18" s="10" t="s">
        <v>47</v>
      </c>
      <c r="K18" s="10">
        <v>1788</v>
      </c>
      <c r="L18" s="10" t="s">
        <v>48</v>
      </c>
      <c r="M18" s="10">
        <v>1868</v>
      </c>
      <c r="N18" s="10">
        <v>131.69999999999999</v>
      </c>
      <c r="O18" s="10" t="s">
        <v>27</v>
      </c>
      <c r="P18" s="10">
        <v>420003</v>
      </c>
      <c r="Q18" s="11">
        <v>5268860</v>
      </c>
    </row>
    <row r="19" spans="3:17" x14ac:dyDescent="0.25">
      <c r="C19" s="14" t="s">
        <v>135</v>
      </c>
      <c r="D19" s="16"/>
      <c r="I19" s="10" t="s">
        <v>49</v>
      </c>
      <c r="J19" s="10" t="s">
        <v>50</v>
      </c>
      <c r="K19" s="10">
        <v>1959</v>
      </c>
      <c r="L19" s="10" t="s">
        <v>51</v>
      </c>
      <c r="M19" s="10">
        <v>1845</v>
      </c>
      <c r="N19" s="10">
        <v>85.7</v>
      </c>
      <c r="O19" s="10" t="s">
        <v>27</v>
      </c>
      <c r="P19" s="10">
        <v>337256</v>
      </c>
      <c r="Q19" s="11">
        <v>953207</v>
      </c>
    </row>
    <row r="20" spans="3:17" x14ac:dyDescent="0.25">
      <c r="C20" s="14" t="s">
        <v>72</v>
      </c>
      <c r="D20" s="17"/>
      <c r="I20" s="10" t="s">
        <v>52</v>
      </c>
      <c r="J20" s="10" t="s">
        <v>53</v>
      </c>
      <c r="K20" s="10">
        <v>1890</v>
      </c>
      <c r="L20" s="10" t="s">
        <v>54</v>
      </c>
      <c r="M20" s="10">
        <v>1865</v>
      </c>
      <c r="N20" s="10">
        <v>63.8</v>
      </c>
      <c r="O20" s="10" t="s">
        <v>27</v>
      </c>
      <c r="P20" s="10">
        <v>205671</v>
      </c>
      <c r="Q20" s="11">
        <v>616561</v>
      </c>
    </row>
    <row r="21" spans="3:17" x14ac:dyDescent="0.25">
      <c r="C21" s="14" t="s">
        <v>120</v>
      </c>
      <c r="D21" s="16"/>
      <c r="I21" s="10" t="s">
        <v>55</v>
      </c>
      <c r="J21" s="10" t="s">
        <v>56</v>
      </c>
      <c r="K21" s="10">
        <v>1818</v>
      </c>
      <c r="L21" s="10" t="s">
        <v>57</v>
      </c>
      <c r="M21" s="10">
        <v>1837</v>
      </c>
      <c r="N21" s="10">
        <v>54</v>
      </c>
      <c r="O21" s="10" t="s">
        <v>20</v>
      </c>
      <c r="P21" s="10">
        <v>116250</v>
      </c>
      <c r="Q21" s="11">
        <v>208182</v>
      </c>
    </row>
    <row r="22" spans="3:17" x14ac:dyDescent="0.25">
      <c r="C22" s="14" t="s">
        <v>129</v>
      </c>
      <c r="D22" s="17"/>
      <c r="I22" s="10" t="s">
        <v>58</v>
      </c>
      <c r="J22" s="10" t="s">
        <v>59</v>
      </c>
      <c r="K22" s="10">
        <v>1816</v>
      </c>
      <c r="L22" s="10" t="s">
        <v>60</v>
      </c>
      <c r="M22" s="10">
        <v>1825</v>
      </c>
      <c r="N22" s="10">
        <v>361.5</v>
      </c>
      <c r="O22" s="10" t="s">
        <v>27</v>
      </c>
      <c r="P22" s="10">
        <v>829718</v>
      </c>
      <c r="Q22" s="11">
        <v>1756221</v>
      </c>
    </row>
    <row r="23" spans="3:17" x14ac:dyDescent="0.25">
      <c r="C23" s="14" t="s">
        <v>36</v>
      </c>
      <c r="D23" s="16"/>
      <c r="I23" s="10" t="s">
        <v>61</v>
      </c>
      <c r="J23" s="10" t="s">
        <v>62</v>
      </c>
      <c r="K23" s="10">
        <v>1846</v>
      </c>
      <c r="L23" s="10" t="s">
        <v>63</v>
      </c>
      <c r="M23" s="10">
        <v>1857</v>
      </c>
      <c r="N23" s="10">
        <v>75.8</v>
      </c>
      <c r="O23" s="10" t="s">
        <v>27</v>
      </c>
      <c r="P23" s="10">
        <v>203433</v>
      </c>
      <c r="Q23" s="11">
        <v>580255</v>
      </c>
    </row>
    <row r="24" spans="3:17" x14ac:dyDescent="0.25">
      <c r="C24" s="14" t="s">
        <v>108</v>
      </c>
      <c r="D24" s="17"/>
      <c r="I24" s="10" t="s">
        <v>64</v>
      </c>
      <c r="J24" s="10" t="s">
        <v>65</v>
      </c>
      <c r="K24" s="10">
        <v>1861</v>
      </c>
      <c r="L24" s="10" t="s">
        <v>66</v>
      </c>
      <c r="M24" s="10">
        <v>1856</v>
      </c>
      <c r="N24" s="10">
        <v>56</v>
      </c>
      <c r="O24" s="10" t="s">
        <v>20</v>
      </c>
      <c r="P24" s="10">
        <v>127473</v>
      </c>
      <c r="Q24" s="11">
        <v>230824</v>
      </c>
    </row>
    <row r="25" spans="3:17" x14ac:dyDescent="0.25">
      <c r="C25" s="14" t="s">
        <v>81</v>
      </c>
      <c r="D25" s="16"/>
      <c r="I25" s="10" t="s">
        <v>67</v>
      </c>
      <c r="J25" s="10" t="s">
        <v>68</v>
      </c>
      <c r="K25" s="10">
        <v>1792</v>
      </c>
      <c r="L25" s="10" t="s">
        <v>69</v>
      </c>
      <c r="M25" s="10">
        <v>1792</v>
      </c>
      <c r="N25" s="10">
        <v>14.7</v>
      </c>
      <c r="O25" s="10" t="s">
        <v>20</v>
      </c>
      <c r="P25" s="10">
        <v>25527</v>
      </c>
      <c r="Q25" s="11">
        <v>70758</v>
      </c>
    </row>
    <row r="26" spans="3:17" x14ac:dyDescent="0.25">
      <c r="C26" s="14" t="s">
        <v>111</v>
      </c>
      <c r="D26" s="17"/>
      <c r="I26" s="10" t="s">
        <v>70</v>
      </c>
      <c r="J26" s="10" t="s">
        <v>71</v>
      </c>
      <c r="K26" s="10">
        <v>1812</v>
      </c>
      <c r="L26" s="10" t="s">
        <v>72</v>
      </c>
      <c r="M26" s="10">
        <v>1880</v>
      </c>
      <c r="N26" s="10">
        <v>76.8</v>
      </c>
      <c r="O26" s="10" t="s">
        <v>20</v>
      </c>
      <c r="P26" s="10">
        <v>229553</v>
      </c>
      <c r="Q26" s="11">
        <v>802484</v>
      </c>
    </row>
    <row r="27" spans="3:17" x14ac:dyDescent="0.25">
      <c r="C27" s="14" t="s">
        <v>93</v>
      </c>
      <c r="D27" s="16"/>
      <c r="I27" s="10" t="s">
        <v>73</v>
      </c>
      <c r="J27" s="10" t="s">
        <v>74</v>
      </c>
      <c r="K27" s="10">
        <v>1820</v>
      </c>
      <c r="L27" s="10" t="s">
        <v>75</v>
      </c>
      <c r="M27" s="10">
        <v>1832</v>
      </c>
      <c r="N27" s="10">
        <v>55.4</v>
      </c>
      <c r="O27" s="10" t="s">
        <v>20</v>
      </c>
      <c r="P27" s="10">
        <v>19136</v>
      </c>
      <c r="Q27" s="11">
        <v>117114</v>
      </c>
    </row>
    <row r="28" spans="3:17" x14ac:dyDescent="0.25">
      <c r="C28" s="14" t="s">
        <v>102</v>
      </c>
      <c r="D28" s="17"/>
      <c r="I28" s="10" t="s">
        <v>76</v>
      </c>
      <c r="J28" s="10" t="s">
        <v>77</v>
      </c>
      <c r="K28" s="10">
        <v>1788</v>
      </c>
      <c r="L28" s="10" t="s">
        <v>78</v>
      </c>
      <c r="M28" s="10">
        <v>1694</v>
      </c>
      <c r="N28" s="10">
        <v>6.73</v>
      </c>
      <c r="O28" s="10" t="s">
        <v>20</v>
      </c>
      <c r="P28" s="10">
        <v>38394</v>
      </c>
      <c r="Q28" s="11"/>
    </row>
    <row r="29" spans="3:17" x14ac:dyDescent="0.25">
      <c r="C29" s="14" t="s">
        <v>69</v>
      </c>
      <c r="D29" s="16"/>
      <c r="I29" s="10" t="s">
        <v>79</v>
      </c>
      <c r="J29" s="10" t="s">
        <v>80</v>
      </c>
      <c r="K29" s="10">
        <v>1788</v>
      </c>
      <c r="L29" s="10" t="s">
        <v>81</v>
      </c>
      <c r="M29" s="10">
        <v>1630</v>
      </c>
      <c r="N29" s="10">
        <v>48.4</v>
      </c>
      <c r="O29" s="10" t="s">
        <v>27</v>
      </c>
      <c r="P29" s="10">
        <v>617594</v>
      </c>
      <c r="Q29" s="11">
        <v>4522858</v>
      </c>
    </row>
    <row r="30" spans="3:17" x14ac:dyDescent="0.25">
      <c r="C30" s="14" t="s">
        <v>126</v>
      </c>
      <c r="D30" s="17"/>
      <c r="I30" s="10" t="s">
        <v>82</v>
      </c>
      <c r="J30" s="10" t="s">
        <v>83</v>
      </c>
      <c r="K30" s="10">
        <v>1837</v>
      </c>
      <c r="L30" s="10" t="s">
        <v>84</v>
      </c>
      <c r="M30" s="10">
        <v>1847</v>
      </c>
      <c r="N30" s="10">
        <v>35</v>
      </c>
      <c r="O30" s="10" t="s">
        <v>20</v>
      </c>
      <c r="P30" s="10">
        <v>114297</v>
      </c>
      <c r="Q30" s="11">
        <v>464036</v>
      </c>
    </row>
    <row r="31" spans="3:17" x14ac:dyDescent="0.25">
      <c r="C31" s="14" t="s">
        <v>78</v>
      </c>
      <c r="D31" s="16"/>
      <c r="I31" s="10" t="s">
        <v>85</v>
      </c>
      <c r="J31" s="10" t="s">
        <v>86</v>
      </c>
      <c r="K31" s="10">
        <v>1858</v>
      </c>
      <c r="L31" s="10" t="s">
        <v>87</v>
      </c>
      <c r="M31" s="10">
        <v>1849</v>
      </c>
      <c r="N31" s="10">
        <v>52.8</v>
      </c>
      <c r="O31" s="10" t="s">
        <v>20</v>
      </c>
      <c r="P31" s="10">
        <v>285068</v>
      </c>
      <c r="Q31" s="11">
        <v>3502891</v>
      </c>
    </row>
    <row r="32" spans="3:17" x14ac:dyDescent="0.25">
      <c r="C32" s="14" t="s">
        <v>60</v>
      </c>
      <c r="D32" s="17"/>
      <c r="I32" s="10" t="s">
        <v>88</v>
      </c>
      <c r="J32" s="10" t="s">
        <v>89</v>
      </c>
      <c r="K32" s="10">
        <v>1817</v>
      </c>
      <c r="L32" s="10" t="s">
        <v>90</v>
      </c>
      <c r="M32" s="10">
        <v>1821</v>
      </c>
      <c r="N32" s="10">
        <v>104.9</v>
      </c>
      <c r="O32" s="10" t="s">
        <v>27</v>
      </c>
      <c r="P32" s="10">
        <v>173514</v>
      </c>
      <c r="Q32" s="11">
        <v>539057</v>
      </c>
    </row>
    <row r="33" spans="3:17" x14ac:dyDescent="0.25">
      <c r="C33" s="14" t="s">
        <v>90</v>
      </c>
      <c r="D33" s="16"/>
      <c r="I33" s="10" t="s">
        <v>91</v>
      </c>
      <c r="J33" s="10" t="s">
        <v>92</v>
      </c>
      <c r="K33" s="10">
        <v>1821</v>
      </c>
      <c r="L33" s="10" t="s">
        <v>93</v>
      </c>
      <c r="M33" s="10">
        <v>1826</v>
      </c>
      <c r="N33" s="10">
        <v>27.3</v>
      </c>
      <c r="O33" s="10" t="s">
        <v>20</v>
      </c>
      <c r="P33" s="10">
        <v>43079</v>
      </c>
      <c r="Q33" s="11">
        <v>149807</v>
      </c>
    </row>
    <row r="34" spans="3:17" x14ac:dyDescent="0.25">
      <c r="I34" s="10" t="s">
        <v>94</v>
      </c>
      <c r="J34" s="10" t="s">
        <v>95</v>
      </c>
      <c r="K34" s="10">
        <v>1889</v>
      </c>
      <c r="L34" s="10" t="s">
        <v>96</v>
      </c>
      <c r="M34" s="10">
        <v>1875</v>
      </c>
      <c r="N34" s="10">
        <v>14</v>
      </c>
      <c r="O34" s="10" t="s">
        <v>20</v>
      </c>
      <c r="P34" s="10">
        <v>28190</v>
      </c>
      <c r="Q34" s="11">
        <v>74801</v>
      </c>
    </row>
    <row r="35" spans="3:17" x14ac:dyDescent="0.25">
      <c r="I35" s="10" t="s">
        <v>97</v>
      </c>
      <c r="J35" s="10" t="s">
        <v>98</v>
      </c>
      <c r="K35" s="10">
        <v>1867</v>
      </c>
      <c r="L35" s="10" t="s">
        <v>99</v>
      </c>
      <c r="M35" s="10">
        <v>1867</v>
      </c>
      <c r="N35" s="10">
        <v>74.599999999999994</v>
      </c>
      <c r="O35" s="10" t="s">
        <v>20</v>
      </c>
      <c r="P35" s="10">
        <v>258379</v>
      </c>
      <c r="Q35" s="11">
        <v>302157</v>
      </c>
    </row>
    <row r="36" spans="3:17" x14ac:dyDescent="0.25">
      <c r="I36" s="10" t="s">
        <v>100</v>
      </c>
      <c r="J36" s="10" t="s">
        <v>101</v>
      </c>
      <c r="K36" s="10">
        <v>1864</v>
      </c>
      <c r="L36" s="10" t="s">
        <v>102</v>
      </c>
      <c r="M36" s="10">
        <v>1861</v>
      </c>
      <c r="N36" s="10">
        <v>143.4</v>
      </c>
      <c r="O36" s="10" t="s">
        <v>20</v>
      </c>
      <c r="P36" s="10">
        <v>55274</v>
      </c>
      <c r="Q36" s="11"/>
    </row>
    <row r="37" spans="3:17" x14ac:dyDescent="0.25">
      <c r="I37" s="10" t="s">
        <v>103</v>
      </c>
      <c r="J37" s="10" t="s">
        <v>104</v>
      </c>
      <c r="K37" s="10">
        <v>1788</v>
      </c>
      <c r="L37" s="10" t="s">
        <v>105</v>
      </c>
      <c r="M37" s="10">
        <v>1808</v>
      </c>
      <c r="N37" s="10">
        <v>64.3</v>
      </c>
      <c r="O37" s="10" t="s">
        <v>20</v>
      </c>
      <c r="P37" s="10">
        <v>42695</v>
      </c>
      <c r="Q37" s="11"/>
    </row>
    <row r="38" spans="3:17" x14ac:dyDescent="0.25">
      <c r="I38" s="10" t="s">
        <v>106</v>
      </c>
      <c r="J38" s="10" t="s">
        <v>107</v>
      </c>
      <c r="K38" s="10">
        <v>1787</v>
      </c>
      <c r="L38" s="10" t="s">
        <v>108</v>
      </c>
      <c r="M38" s="10">
        <v>1784</v>
      </c>
      <c r="N38" s="10">
        <v>7.66</v>
      </c>
      <c r="O38" s="10" t="s">
        <v>20</v>
      </c>
      <c r="P38" s="10">
        <v>84913</v>
      </c>
      <c r="Q38" s="11">
        <v>366513</v>
      </c>
    </row>
    <row r="39" spans="3:17" x14ac:dyDescent="0.25">
      <c r="I39" s="10" t="s">
        <v>109</v>
      </c>
      <c r="J39" s="10" t="s">
        <v>110</v>
      </c>
      <c r="K39" s="10">
        <v>1912</v>
      </c>
      <c r="L39" s="10" t="s">
        <v>111</v>
      </c>
      <c r="M39" s="10">
        <v>1610</v>
      </c>
      <c r="N39" s="10">
        <v>37.299999999999997</v>
      </c>
      <c r="O39" s="10" t="s">
        <v>20</v>
      </c>
      <c r="P39" s="10">
        <v>75764</v>
      </c>
      <c r="Q39" s="11">
        <v>183732</v>
      </c>
    </row>
    <row r="40" spans="3:17" x14ac:dyDescent="0.25">
      <c r="I40" s="10" t="s">
        <v>112</v>
      </c>
      <c r="J40" s="10" t="s">
        <v>113</v>
      </c>
      <c r="K40" s="10">
        <v>1788</v>
      </c>
      <c r="L40" s="10" t="s">
        <v>114</v>
      </c>
      <c r="M40" s="10">
        <v>1797</v>
      </c>
      <c r="N40" s="10">
        <v>21.4</v>
      </c>
      <c r="O40" s="10" t="s">
        <v>20</v>
      </c>
      <c r="P40" s="10">
        <v>97856</v>
      </c>
      <c r="Q40" s="11">
        <v>857592</v>
      </c>
    </row>
    <row r="41" spans="3:17" x14ac:dyDescent="0.25">
      <c r="I41" s="10" t="s">
        <v>115</v>
      </c>
      <c r="J41" s="10" t="s">
        <v>116</v>
      </c>
      <c r="K41" s="10">
        <v>1789</v>
      </c>
      <c r="L41" s="10" t="s">
        <v>117</v>
      </c>
      <c r="M41" s="10">
        <v>1792</v>
      </c>
      <c r="N41" s="10">
        <v>114.6</v>
      </c>
      <c r="O41" s="10" t="s">
        <v>20</v>
      </c>
      <c r="P41" s="10">
        <v>403892</v>
      </c>
      <c r="Q41" s="11">
        <v>1130490</v>
      </c>
    </row>
    <row r="42" spans="3:17" x14ac:dyDescent="0.25">
      <c r="I42" s="10" t="s">
        <v>118</v>
      </c>
      <c r="J42" s="10" t="s">
        <v>119</v>
      </c>
      <c r="K42" s="10">
        <v>1889</v>
      </c>
      <c r="L42" s="10" t="s">
        <v>120</v>
      </c>
      <c r="M42" s="10">
        <v>1883</v>
      </c>
      <c r="N42" s="10">
        <v>26.9</v>
      </c>
      <c r="O42" s="10" t="s">
        <v>20</v>
      </c>
      <c r="P42" s="10">
        <v>61272</v>
      </c>
      <c r="Q42" s="11">
        <v>108779</v>
      </c>
    </row>
    <row r="43" spans="3:17" x14ac:dyDescent="0.25">
      <c r="I43" s="10" t="s">
        <v>121</v>
      </c>
      <c r="J43" s="10" t="s">
        <v>122</v>
      </c>
      <c r="K43" s="10">
        <v>1803</v>
      </c>
      <c r="L43" s="10" t="s">
        <v>123</v>
      </c>
      <c r="M43" s="10">
        <v>1816</v>
      </c>
      <c r="N43" s="10">
        <v>210.3</v>
      </c>
      <c r="O43" s="10" t="s">
        <v>27</v>
      </c>
      <c r="P43" s="10">
        <v>787033</v>
      </c>
      <c r="Q43" s="11">
        <v>1836536</v>
      </c>
    </row>
    <row r="44" spans="3:17" x14ac:dyDescent="0.25">
      <c r="I44" s="10" t="s">
        <v>124</v>
      </c>
      <c r="J44" s="10" t="s">
        <v>125</v>
      </c>
      <c r="K44" s="10">
        <v>1907</v>
      </c>
      <c r="L44" s="10" t="s">
        <v>126</v>
      </c>
      <c r="M44" s="10">
        <v>1910</v>
      </c>
      <c r="N44" s="10">
        <v>607</v>
      </c>
      <c r="O44" s="10" t="s">
        <v>27</v>
      </c>
      <c r="P44" s="10">
        <v>580000</v>
      </c>
      <c r="Q44" s="11">
        <v>1252987</v>
      </c>
    </row>
    <row r="45" spans="3:17" x14ac:dyDescent="0.25">
      <c r="I45" s="10" t="s">
        <v>127</v>
      </c>
      <c r="J45" s="10" t="s">
        <v>128</v>
      </c>
      <c r="K45" s="10">
        <v>1859</v>
      </c>
      <c r="L45" s="10" t="s">
        <v>129</v>
      </c>
      <c r="M45" s="10">
        <v>1855</v>
      </c>
      <c r="N45" s="10">
        <v>45.7</v>
      </c>
      <c r="O45" s="10" t="s">
        <v>20</v>
      </c>
      <c r="P45" s="10">
        <v>154637</v>
      </c>
      <c r="Q45" s="11">
        <v>390738</v>
      </c>
    </row>
    <row r="46" spans="3:17" x14ac:dyDescent="0.25">
      <c r="I46" s="10" t="s">
        <v>130</v>
      </c>
      <c r="J46" s="10" t="s">
        <v>131</v>
      </c>
      <c r="K46" s="10">
        <v>1787</v>
      </c>
      <c r="L46" s="10" t="s">
        <v>132</v>
      </c>
      <c r="M46" s="10">
        <v>1812</v>
      </c>
      <c r="N46" s="10">
        <v>8.11</v>
      </c>
      <c r="O46" s="10" t="s">
        <v>20</v>
      </c>
      <c r="P46" s="10">
        <v>49528</v>
      </c>
      <c r="Q46" s="11">
        <v>647390</v>
      </c>
    </row>
    <row r="47" spans="3:17" x14ac:dyDescent="0.25">
      <c r="I47" s="10" t="s">
        <v>133</v>
      </c>
      <c r="J47" s="10" t="s">
        <v>134</v>
      </c>
      <c r="K47" s="10">
        <v>1790</v>
      </c>
      <c r="L47" s="10" t="s">
        <v>135</v>
      </c>
      <c r="M47" s="10">
        <v>1900</v>
      </c>
      <c r="N47" s="10">
        <v>18.5</v>
      </c>
      <c r="O47" s="10" t="s">
        <v>27</v>
      </c>
      <c r="P47" s="10">
        <v>178042</v>
      </c>
      <c r="Q47" s="11">
        <v>1630956</v>
      </c>
    </row>
    <row r="48" spans="3:17" x14ac:dyDescent="0.25">
      <c r="I48" s="10" t="s">
        <v>136</v>
      </c>
      <c r="J48" s="10" t="s">
        <v>137</v>
      </c>
      <c r="K48" s="10">
        <v>1788</v>
      </c>
      <c r="L48" s="10" t="s">
        <v>138</v>
      </c>
      <c r="M48" s="10">
        <v>1786</v>
      </c>
      <c r="N48" s="10">
        <v>125.2</v>
      </c>
      <c r="O48" s="10" t="s">
        <v>27</v>
      </c>
      <c r="P48" s="10">
        <v>131686</v>
      </c>
      <c r="Q48" s="11">
        <v>913797</v>
      </c>
    </row>
    <row r="49" spans="9:17" x14ac:dyDescent="0.25">
      <c r="I49" s="10" t="s">
        <v>139</v>
      </c>
      <c r="J49" s="10" t="s">
        <v>140</v>
      </c>
      <c r="K49" s="10">
        <v>1889</v>
      </c>
      <c r="L49" s="10" t="s">
        <v>141</v>
      </c>
      <c r="M49" s="10">
        <v>1889</v>
      </c>
      <c r="N49" s="10">
        <v>13</v>
      </c>
      <c r="O49" s="10" t="s">
        <v>20</v>
      </c>
      <c r="P49" s="10">
        <v>13646</v>
      </c>
      <c r="Q49" s="11"/>
    </row>
    <row r="50" spans="9:17" x14ac:dyDescent="0.25">
      <c r="I50" s="10" t="s">
        <v>142</v>
      </c>
      <c r="J50" s="10" t="s">
        <v>143</v>
      </c>
      <c r="K50" s="10">
        <v>1796</v>
      </c>
      <c r="L50" s="10" t="s">
        <v>144</v>
      </c>
      <c r="M50" s="10">
        <v>1826</v>
      </c>
      <c r="N50" s="10">
        <v>473.3</v>
      </c>
      <c r="O50" s="10" t="s">
        <v>20</v>
      </c>
      <c r="P50" s="10">
        <v>635710</v>
      </c>
      <c r="Q50" s="11">
        <v>1582264</v>
      </c>
    </row>
    <row r="51" spans="9:17" x14ac:dyDescent="0.25">
      <c r="I51" s="10" t="s">
        <v>145</v>
      </c>
      <c r="J51" s="10" t="s">
        <v>146</v>
      </c>
      <c r="K51" s="10">
        <v>1845</v>
      </c>
      <c r="L51" s="10" t="s">
        <v>147</v>
      </c>
      <c r="M51" s="10">
        <v>1839</v>
      </c>
      <c r="N51" s="10">
        <v>251.5</v>
      </c>
      <c r="O51" s="10" t="s">
        <v>20</v>
      </c>
      <c r="P51" s="10">
        <v>842592</v>
      </c>
      <c r="Q51" s="11">
        <v>1716291</v>
      </c>
    </row>
    <row r="52" spans="9:17" x14ac:dyDescent="0.25">
      <c r="I52" s="10" t="s">
        <v>148</v>
      </c>
      <c r="J52" s="10" t="s">
        <v>149</v>
      </c>
      <c r="K52" s="10">
        <v>1896</v>
      </c>
      <c r="L52" s="10" t="s">
        <v>150</v>
      </c>
      <c r="M52" s="10">
        <v>1858</v>
      </c>
      <c r="N52" s="10">
        <v>109.1</v>
      </c>
      <c r="O52" s="10" t="s">
        <v>27</v>
      </c>
      <c r="P52" s="10">
        <v>186440</v>
      </c>
      <c r="Q52" s="11">
        <v>1124197</v>
      </c>
    </row>
    <row r="53" spans="9:17" x14ac:dyDescent="0.25">
      <c r="I53" s="10" t="s">
        <v>151</v>
      </c>
      <c r="J53" s="10" t="s">
        <v>152</v>
      </c>
      <c r="K53" s="10">
        <v>1791</v>
      </c>
      <c r="L53" s="10" t="s">
        <v>153</v>
      </c>
      <c r="M53" s="10">
        <v>1805</v>
      </c>
      <c r="N53" s="10">
        <v>10.199999999999999</v>
      </c>
      <c r="O53" s="10" t="s">
        <v>20</v>
      </c>
      <c r="P53" s="10">
        <v>7855</v>
      </c>
      <c r="Q53" s="11"/>
    </row>
    <row r="54" spans="9:17" x14ac:dyDescent="0.25">
      <c r="I54" s="10" t="s">
        <v>154</v>
      </c>
      <c r="J54" s="10" t="s">
        <v>155</v>
      </c>
      <c r="K54" s="10">
        <v>1788</v>
      </c>
      <c r="L54" s="10" t="s">
        <v>156</v>
      </c>
      <c r="M54" s="10">
        <v>1780</v>
      </c>
      <c r="N54" s="10">
        <v>60.1</v>
      </c>
      <c r="O54" s="10" t="s">
        <v>20</v>
      </c>
      <c r="P54" s="10">
        <v>204214</v>
      </c>
      <c r="Q54" s="11">
        <v>1231675</v>
      </c>
    </row>
    <row r="55" spans="9:17" x14ac:dyDescent="0.25">
      <c r="I55" s="10" t="s">
        <v>157</v>
      </c>
      <c r="J55" s="10" t="s">
        <v>158</v>
      </c>
      <c r="K55" s="10">
        <v>1889</v>
      </c>
      <c r="L55" s="10" t="s">
        <v>159</v>
      </c>
      <c r="M55" s="10">
        <v>1853</v>
      </c>
      <c r="N55" s="10">
        <v>16.7</v>
      </c>
      <c r="O55" s="10" t="s">
        <v>20</v>
      </c>
      <c r="P55" s="10">
        <v>46478</v>
      </c>
      <c r="Q55" s="11">
        <v>234670</v>
      </c>
    </row>
    <row r="56" spans="9:17" x14ac:dyDescent="0.25">
      <c r="I56" s="10" t="s">
        <v>160</v>
      </c>
      <c r="J56" s="10" t="s">
        <v>161</v>
      </c>
      <c r="K56" s="10">
        <v>1863</v>
      </c>
      <c r="L56" s="10" t="s">
        <v>162</v>
      </c>
      <c r="M56" s="10">
        <v>1885</v>
      </c>
      <c r="N56" s="10">
        <v>31.6</v>
      </c>
      <c r="O56" s="10" t="s">
        <v>27</v>
      </c>
      <c r="P56" s="10">
        <v>51400</v>
      </c>
      <c r="Q56" s="11">
        <v>304214</v>
      </c>
    </row>
    <row r="57" spans="9:17" x14ac:dyDescent="0.25">
      <c r="I57" s="10" t="s">
        <v>163</v>
      </c>
      <c r="J57" s="10" t="s">
        <v>164</v>
      </c>
      <c r="K57" s="10">
        <v>1848</v>
      </c>
      <c r="L57" s="10" t="s">
        <v>165</v>
      </c>
      <c r="M57" s="10">
        <v>1838</v>
      </c>
      <c r="N57" s="10">
        <v>68.7</v>
      </c>
      <c r="O57" s="10" t="s">
        <v>20</v>
      </c>
      <c r="P57" s="10">
        <v>233209</v>
      </c>
      <c r="Q57" s="11">
        <v>561505</v>
      </c>
    </row>
    <row r="58" spans="9:17" x14ac:dyDescent="0.25">
      <c r="I58" s="12" t="s">
        <v>166</v>
      </c>
      <c r="J58" s="12" t="s">
        <v>167</v>
      </c>
      <c r="K58" s="12">
        <v>1890</v>
      </c>
      <c r="L58" s="12" t="s">
        <v>168</v>
      </c>
      <c r="M58" s="12">
        <v>1869</v>
      </c>
      <c r="N58" s="12">
        <v>21.1</v>
      </c>
      <c r="O58" s="12" t="s">
        <v>27</v>
      </c>
      <c r="P58" s="12">
        <v>59466</v>
      </c>
      <c r="Q58" s="13">
        <v>91738</v>
      </c>
    </row>
  </sheetData>
  <sheetProtection password="DCA3" sheet="1" objects="1" scenarios="1"/>
  <mergeCells count="1">
    <mergeCell ref="C2:H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Q58"/>
  <sheetViews>
    <sheetView showGridLines="0" showRowColHeaders="0" zoomScale="85" zoomScaleNormal="85" workbookViewId="0"/>
  </sheetViews>
  <sheetFormatPr defaultRowHeight="15" x14ac:dyDescent="0.25"/>
  <cols>
    <col min="3" max="3" width="18.28515625" customWidth="1"/>
    <col min="4" max="4" width="14.42578125" style="1" customWidth="1"/>
    <col min="9" max="9" width="15.28515625" style="1" bestFit="1" customWidth="1"/>
    <col min="10" max="10" width="6.7109375" style="1" customWidth="1"/>
    <col min="11" max="11" width="19.42578125" style="1" customWidth="1"/>
    <col min="12" max="12" width="14" style="1" bestFit="1" customWidth="1"/>
    <col min="13" max="13" width="15.140625" style="1" customWidth="1"/>
    <col min="14" max="14" width="17.140625" style="1" customWidth="1"/>
    <col min="15" max="15" width="21.5703125" style="1" customWidth="1"/>
    <col min="16" max="16" width="23.140625" style="1" customWidth="1"/>
    <col min="17" max="17" width="26" style="1" customWidth="1"/>
  </cols>
  <sheetData>
    <row r="1" spans="2:17" x14ac:dyDescent="0.25">
      <c r="K1" s="1" t="s">
        <v>253</v>
      </c>
    </row>
    <row r="2" spans="2:17" ht="32.25" customHeight="1" x14ac:dyDescent="0.25">
      <c r="B2" t="s">
        <v>177</v>
      </c>
      <c r="C2" s="98" t="s">
        <v>176</v>
      </c>
      <c r="D2" s="98"/>
      <c r="E2" s="98"/>
      <c r="F2" s="98"/>
      <c r="G2" s="98"/>
      <c r="H2" s="98"/>
      <c r="I2" s="5" t="s">
        <v>171</v>
      </c>
      <c r="K2" s="53"/>
    </row>
    <row r="3" spans="2:17" x14ac:dyDescent="0.25">
      <c r="C3" s="15" t="s">
        <v>170</v>
      </c>
    </row>
    <row r="7" spans="2:17" x14ac:dyDescent="0.25">
      <c r="C7" s="4" t="s">
        <v>7</v>
      </c>
      <c r="I7" s="5" t="s">
        <v>169</v>
      </c>
    </row>
    <row r="8" spans="2:17" ht="15.75" thickBot="1" x14ac:dyDescent="0.3">
      <c r="C8" s="20" t="s">
        <v>10</v>
      </c>
      <c r="D8" s="18" t="s">
        <v>175</v>
      </c>
      <c r="I8" s="6" t="s">
        <v>8</v>
      </c>
      <c r="J8" s="6" t="s">
        <v>9</v>
      </c>
      <c r="K8" s="6" t="s">
        <v>10</v>
      </c>
      <c r="L8" s="6" t="s">
        <v>11</v>
      </c>
      <c r="M8" s="6" t="s">
        <v>12</v>
      </c>
      <c r="N8" s="6" t="s">
        <v>13</v>
      </c>
      <c r="O8" s="6" t="s">
        <v>14</v>
      </c>
      <c r="P8" s="6" t="s">
        <v>15</v>
      </c>
      <c r="Q8" s="7" t="s">
        <v>16</v>
      </c>
    </row>
    <row r="9" spans="2:17" ht="15.75" thickTop="1" x14ac:dyDescent="0.25">
      <c r="C9" s="10">
        <v>1787</v>
      </c>
      <c r="D9" s="19"/>
      <c r="I9" s="10" t="s">
        <v>17</v>
      </c>
      <c r="J9" s="10" t="s">
        <v>18</v>
      </c>
      <c r="K9" s="10">
        <v>1819</v>
      </c>
      <c r="L9" s="10" t="s">
        <v>19</v>
      </c>
      <c r="M9" s="10">
        <v>1846</v>
      </c>
      <c r="N9" s="10">
        <v>155.4</v>
      </c>
      <c r="O9" s="10" t="s">
        <v>20</v>
      </c>
      <c r="P9" s="10">
        <v>205764</v>
      </c>
      <c r="Q9" s="11">
        <v>374536</v>
      </c>
    </row>
    <row r="10" spans="2:17" x14ac:dyDescent="0.25">
      <c r="C10" s="10">
        <v>1889</v>
      </c>
      <c r="D10" s="19"/>
      <c r="I10" s="10" t="s">
        <v>21</v>
      </c>
      <c r="J10" s="10" t="s">
        <v>22</v>
      </c>
      <c r="K10" s="10">
        <v>1959</v>
      </c>
      <c r="L10" s="10" t="s">
        <v>23</v>
      </c>
      <c r="M10" s="10">
        <v>1906</v>
      </c>
      <c r="N10" s="10">
        <v>2716.7</v>
      </c>
      <c r="O10" s="10" t="s">
        <v>20</v>
      </c>
      <c r="P10" s="10">
        <v>31275</v>
      </c>
      <c r="Q10" s="11"/>
    </row>
    <row r="11" spans="2:17" x14ac:dyDescent="0.25">
      <c r="C11" s="10">
        <v>1818</v>
      </c>
      <c r="D11" s="19"/>
      <c r="I11" s="10" t="s">
        <v>24</v>
      </c>
      <c r="J11" s="10" t="s">
        <v>25</v>
      </c>
      <c r="K11" s="10">
        <v>1912</v>
      </c>
      <c r="L11" s="10" t="s">
        <v>26</v>
      </c>
      <c r="M11" s="10">
        <v>1889</v>
      </c>
      <c r="N11" s="10">
        <v>474.9</v>
      </c>
      <c r="O11" s="10" t="s">
        <v>27</v>
      </c>
      <c r="P11" s="10">
        <v>1445632</v>
      </c>
      <c r="Q11" s="11">
        <v>4192887</v>
      </c>
    </row>
    <row r="12" spans="2:17" x14ac:dyDescent="0.25">
      <c r="C12" s="10">
        <v>1817</v>
      </c>
      <c r="D12" s="19"/>
      <c r="I12" s="10" t="s">
        <v>28</v>
      </c>
      <c r="J12" s="10" t="s">
        <v>29</v>
      </c>
      <c r="K12" s="10">
        <v>1836</v>
      </c>
      <c r="L12" s="10" t="s">
        <v>30</v>
      </c>
      <c r="M12" s="10">
        <v>1821</v>
      </c>
      <c r="N12" s="10">
        <v>116.2</v>
      </c>
      <c r="O12" s="10" t="s">
        <v>27</v>
      </c>
      <c r="P12" s="10">
        <v>193524</v>
      </c>
      <c r="Q12" s="11">
        <v>877091</v>
      </c>
    </row>
    <row r="13" spans="2:17" x14ac:dyDescent="0.25">
      <c r="C13" s="10">
        <v>1816</v>
      </c>
      <c r="D13" s="19"/>
      <c r="I13" s="10" t="s">
        <v>31</v>
      </c>
      <c r="J13" s="10" t="s">
        <v>32</v>
      </c>
      <c r="K13" s="10">
        <v>1850</v>
      </c>
      <c r="L13" s="10" t="s">
        <v>33</v>
      </c>
      <c r="M13" s="10">
        <v>1854</v>
      </c>
      <c r="N13" s="10">
        <v>97.2</v>
      </c>
      <c r="O13" s="10" t="s">
        <v>20</v>
      </c>
      <c r="P13" s="10">
        <v>466488</v>
      </c>
      <c r="Q13" s="11">
        <v>2527123</v>
      </c>
    </row>
    <row r="14" spans="2:17" x14ac:dyDescent="0.25">
      <c r="C14" s="10">
        <v>1861</v>
      </c>
      <c r="D14" s="19"/>
      <c r="I14" s="10" t="s">
        <v>34</v>
      </c>
      <c r="J14" s="10" t="s">
        <v>35</v>
      </c>
      <c r="K14" s="10">
        <v>1876</v>
      </c>
      <c r="L14" s="10" t="s">
        <v>36</v>
      </c>
      <c r="M14" s="10">
        <v>1867</v>
      </c>
      <c r="N14" s="10">
        <v>153.4</v>
      </c>
      <c r="O14" s="10" t="s">
        <v>27</v>
      </c>
      <c r="P14" s="10">
        <v>600158</v>
      </c>
      <c r="Q14" s="11">
        <v>2552195</v>
      </c>
    </row>
    <row r="15" spans="2:17" x14ac:dyDescent="0.25">
      <c r="C15" s="10">
        <v>1788</v>
      </c>
      <c r="D15" s="19"/>
      <c r="I15" s="10" t="s">
        <v>37</v>
      </c>
      <c r="J15" s="10" t="s">
        <v>38</v>
      </c>
      <c r="K15" s="10">
        <v>1788</v>
      </c>
      <c r="L15" s="10" t="s">
        <v>39</v>
      </c>
      <c r="M15" s="10">
        <v>1875</v>
      </c>
      <c r="N15" s="10">
        <v>17.3</v>
      </c>
      <c r="O15" s="10" t="s">
        <v>20</v>
      </c>
      <c r="P15" s="10">
        <v>124512</v>
      </c>
      <c r="Q15" s="11">
        <v>1212381</v>
      </c>
    </row>
    <row r="16" spans="2:17" x14ac:dyDescent="0.25">
      <c r="C16" s="10">
        <v>1812</v>
      </c>
      <c r="D16" s="19"/>
      <c r="I16" s="10" t="s">
        <v>40</v>
      </c>
      <c r="J16" s="10" t="s">
        <v>41</v>
      </c>
      <c r="K16" s="10">
        <v>1787</v>
      </c>
      <c r="L16" s="10" t="s">
        <v>42</v>
      </c>
      <c r="M16" s="10">
        <v>1777</v>
      </c>
      <c r="N16" s="10">
        <v>22.4</v>
      </c>
      <c r="O16" s="10" t="s">
        <v>20</v>
      </c>
      <c r="P16" s="10">
        <v>36047</v>
      </c>
      <c r="Q16" s="11">
        <v>162310</v>
      </c>
    </row>
    <row r="17" spans="3:17" x14ac:dyDescent="0.25">
      <c r="C17" s="10">
        <v>1907</v>
      </c>
      <c r="D17" s="19"/>
      <c r="I17" s="10" t="s">
        <v>43</v>
      </c>
      <c r="J17" s="10" t="s">
        <v>44</v>
      </c>
      <c r="K17" s="10">
        <v>1845</v>
      </c>
      <c r="L17" s="10" t="s">
        <v>45</v>
      </c>
      <c r="M17" s="10">
        <v>1824</v>
      </c>
      <c r="N17" s="10">
        <v>95.7</v>
      </c>
      <c r="O17" s="10" t="s">
        <v>20</v>
      </c>
      <c r="P17" s="10">
        <v>181412</v>
      </c>
      <c r="Q17" s="11">
        <v>367413</v>
      </c>
    </row>
    <row r="18" spans="3:17" x14ac:dyDescent="0.25">
      <c r="C18" s="10">
        <v>1959</v>
      </c>
      <c r="D18" s="19"/>
      <c r="I18" s="10" t="s">
        <v>46</v>
      </c>
      <c r="J18" s="10" t="s">
        <v>47</v>
      </c>
      <c r="K18" s="10">
        <v>1788</v>
      </c>
      <c r="L18" s="10" t="s">
        <v>48</v>
      </c>
      <c r="M18" s="10">
        <v>1868</v>
      </c>
      <c r="N18" s="10">
        <v>131.69999999999999</v>
      </c>
      <c r="O18" s="10" t="s">
        <v>27</v>
      </c>
      <c r="P18" s="10">
        <v>420003</v>
      </c>
      <c r="Q18" s="11">
        <v>5268860</v>
      </c>
    </row>
    <row r="19" spans="3:17" x14ac:dyDescent="0.25">
      <c r="C19" s="10">
        <v>1845</v>
      </c>
      <c r="D19" s="19"/>
      <c r="I19" s="10" t="s">
        <v>49</v>
      </c>
      <c r="J19" s="10" t="s">
        <v>50</v>
      </c>
      <c r="K19" s="10">
        <v>1959</v>
      </c>
      <c r="L19" s="10" t="s">
        <v>51</v>
      </c>
      <c r="M19" s="10">
        <v>1845</v>
      </c>
      <c r="N19" s="10">
        <v>85.7</v>
      </c>
      <c r="O19" s="10" t="s">
        <v>27</v>
      </c>
      <c r="P19" s="10">
        <v>337256</v>
      </c>
      <c r="Q19" s="11">
        <v>953207</v>
      </c>
    </row>
    <row r="20" spans="3:17" x14ac:dyDescent="0.25">
      <c r="C20" s="10">
        <v>1912</v>
      </c>
      <c r="D20" s="19"/>
      <c r="I20" s="10" t="s">
        <v>52</v>
      </c>
      <c r="J20" s="10" t="s">
        <v>53</v>
      </c>
      <c r="K20" s="10">
        <v>1890</v>
      </c>
      <c r="L20" s="10" t="s">
        <v>54</v>
      </c>
      <c r="M20" s="10">
        <v>1865</v>
      </c>
      <c r="N20" s="10">
        <v>63.8</v>
      </c>
      <c r="O20" s="10" t="s">
        <v>27</v>
      </c>
      <c r="P20" s="10">
        <v>205671</v>
      </c>
      <c r="Q20" s="11">
        <v>616561</v>
      </c>
    </row>
    <row r="21" spans="3:17" x14ac:dyDescent="0.25">
      <c r="C21" s="10">
        <v>1867</v>
      </c>
      <c r="D21" s="19"/>
      <c r="I21" s="10" t="s">
        <v>55</v>
      </c>
      <c r="J21" s="10" t="s">
        <v>56</v>
      </c>
      <c r="K21" s="10">
        <v>1818</v>
      </c>
      <c r="L21" s="10" t="s">
        <v>57</v>
      </c>
      <c r="M21" s="10">
        <v>1837</v>
      </c>
      <c r="N21" s="10">
        <v>54</v>
      </c>
      <c r="O21" s="10" t="s">
        <v>20</v>
      </c>
      <c r="P21" s="10">
        <v>116250</v>
      </c>
      <c r="Q21" s="11">
        <v>208182</v>
      </c>
    </row>
    <row r="22" spans="3:17" x14ac:dyDescent="0.25">
      <c r="C22" s="10">
        <v>1789</v>
      </c>
      <c r="D22" s="19"/>
      <c r="I22" s="10" t="s">
        <v>58</v>
      </c>
      <c r="J22" s="10" t="s">
        <v>59</v>
      </c>
      <c r="K22" s="10">
        <v>1816</v>
      </c>
      <c r="L22" s="10" t="s">
        <v>60</v>
      </c>
      <c r="M22" s="10">
        <v>1825</v>
      </c>
      <c r="N22" s="10">
        <v>361.5</v>
      </c>
      <c r="O22" s="10" t="s">
        <v>27</v>
      </c>
      <c r="P22" s="10">
        <v>829718</v>
      </c>
      <c r="Q22" s="11">
        <v>1756221</v>
      </c>
    </row>
    <row r="23" spans="3:17" x14ac:dyDescent="0.25">
      <c r="C23" s="10">
        <v>1890</v>
      </c>
      <c r="D23" s="19"/>
      <c r="I23" s="10" t="s">
        <v>61</v>
      </c>
      <c r="J23" s="10" t="s">
        <v>62</v>
      </c>
      <c r="K23" s="10">
        <v>1846</v>
      </c>
      <c r="L23" s="10" t="s">
        <v>63</v>
      </c>
      <c r="M23" s="10">
        <v>1857</v>
      </c>
      <c r="N23" s="10">
        <v>75.8</v>
      </c>
      <c r="O23" s="10" t="s">
        <v>27</v>
      </c>
      <c r="P23" s="10">
        <v>203433</v>
      </c>
      <c r="Q23" s="11">
        <v>580255</v>
      </c>
    </row>
    <row r="24" spans="3:17" x14ac:dyDescent="0.25">
      <c r="D24" s="10">
        <f>SUM(D9:D23)</f>
        <v>0</v>
      </c>
      <c r="I24" s="10" t="s">
        <v>64</v>
      </c>
      <c r="J24" s="10" t="s">
        <v>65</v>
      </c>
      <c r="K24" s="10">
        <v>1861</v>
      </c>
      <c r="L24" s="10" t="s">
        <v>66</v>
      </c>
      <c r="M24" s="10">
        <v>1856</v>
      </c>
      <c r="N24" s="10">
        <v>56</v>
      </c>
      <c r="O24" s="10" t="s">
        <v>20</v>
      </c>
      <c r="P24" s="10">
        <v>127473</v>
      </c>
      <c r="Q24" s="11">
        <v>230824</v>
      </c>
    </row>
    <row r="25" spans="3:17" x14ac:dyDescent="0.25">
      <c r="I25" s="10" t="s">
        <v>67</v>
      </c>
      <c r="J25" s="10" t="s">
        <v>68</v>
      </c>
      <c r="K25" s="10">
        <v>1792</v>
      </c>
      <c r="L25" s="10" t="s">
        <v>69</v>
      </c>
      <c r="M25" s="10">
        <v>1792</v>
      </c>
      <c r="N25" s="10">
        <v>14.7</v>
      </c>
      <c r="O25" s="10" t="s">
        <v>20</v>
      </c>
      <c r="P25" s="10">
        <v>25527</v>
      </c>
      <c r="Q25" s="11">
        <v>70758</v>
      </c>
    </row>
    <row r="26" spans="3:17" x14ac:dyDescent="0.25">
      <c r="I26" s="10" t="s">
        <v>70</v>
      </c>
      <c r="J26" s="10" t="s">
        <v>71</v>
      </c>
      <c r="K26" s="10">
        <v>1812</v>
      </c>
      <c r="L26" s="10" t="s">
        <v>72</v>
      </c>
      <c r="M26" s="10">
        <v>1880</v>
      </c>
      <c r="N26" s="10">
        <v>76.8</v>
      </c>
      <c r="O26" s="10" t="s">
        <v>20</v>
      </c>
      <c r="P26" s="10">
        <v>229553</v>
      </c>
      <c r="Q26" s="11">
        <v>802484</v>
      </c>
    </row>
    <row r="27" spans="3:17" x14ac:dyDescent="0.25">
      <c r="I27" s="10" t="s">
        <v>73</v>
      </c>
      <c r="J27" s="10" t="s">
        <v>74</v>
      </c>
      <c r="K27" s="10">
        <v>1820</v>
      </c>
      <c r="L27" s="10" t="s">
        <v>75</v>
      </c>
      <c r="M27" s="10">
        <v>1832</v>
      </c>
      <c r="N27" s="10">
        <v>55.4</v>
      </c>
      <c r="O27" s="10" t="s">
        <v>20</v>
      </c>
      <c r="P27" s="10">
        <v>19136</v>
      </c>
      <c r="Q27" s="11">
        <v>117114</v>
      </c>
    </row>
    <row r="28" spans="3:17" x14ac:dyDescent="0.25">
      <c r="I28" s="10" t="s">
        <v>76</v>
      </c>
      <c r="J28" s="10" t="s">
        <v>77</v>
      </c>
      <c r="K28" s="10">
        <v>1788</v>
      </c>
      <c r="L28" s="10" t="s">
        <v>78</v>
      </c>
      <c r="M28" s="10">
        <v>1694</v>
      </c>
      <c r="N28" s="10">
        <v>6.73</v>
      </c>
      <c r="O28" s="10" t="s">
        <v>20</v>
      </c>
      <c r="P28" s="10">
        <v>38394</v>
      </c>
      <c r="Q28" s="11"/>
    </row>
    <row r="29" spans="3:17" x14ac:dyDescent="0.25">
      <c r="I29" s="10" t="s">
        <v>79</v>
      </c>
      <c r="J29" s="10" t="s">
        <v>80</v>
      </c>
      <c r="K29" s="10">
        <v>1788</v>
      </c>
      <c r="L29" s="10" t="s">
        <v>81</v>
      </c>
      <c r="M29" s="10">
        <v>1630</v>
      </c>
      <c r="N29" s="10">
        <v>48.4</v>
      </c>
      <c r="O29" s="10" t="s">
        <v>27</v>
      </c>
      <c r="P29" s="10">
        <v>617594</v>
      </c>
      <c r="Q29" s="11">
        <v>4522858</v>
      </c>
    </row>
    <row r="30" spans="3:17" x14ac:dyDescent="0.25">
      <c r="I30" s="10" t="s">
        <v>82</v>
      </c>
      <c r="J30" s="10" t="s">
        <v>83</v>
      </c>
      <c r="K30" s="10">
        <v>1837</v>
      </c>
      <c r="L30" s="10" t="s">
        <v>84</v>
      </c>
      <c r="M30" s="10">
        <v>1847</v>
      </c>
      <c r="N30" s="10">
        <v>35</v>
      </c>
      <c r="O30" s="10" t="s">
        <v>20</v>
      </c>
      <c r="P30" s="10">
        <v>114297</v>
      </c>
      <c r="Q30" s="11">
        <v>464036</v>
      </c>
    </row>
    <row r="31" spans="3:17" x14ac:dyDescent="0.25">
      <c r="I31" s="10" t="s">
        <v>85</v>
      </c>
      <c r="J31" s="10" t="s">
        <v>86</v>
      </c>
      <c r="K31" s="10">
        <v>1858</v>
      </c>
      <c r="L31" s="10" t="s">
        <v>87</v>
      </c>
      <c r="M31" s="10">
        <v>1849</v>
      </c>
      <c r="N31" s="10">
        <v>52.8</v>
      </c>
      <c r="O31" s="10" t="s">
        <v>20</v>
      </c>
      <c r="P31" s="10">
        <v>285068</v>
      </c>
      <c r="Q31" s="11">
        <v>3502891</v>
      </c>
    </row>
    <row r="32" spans="3:17" x14ac:dyDescent="0.25">
      <c r="I32" s="10" t="s">
        <v>88</v>
      </c>
      <c r="J32" s="10" t="s">
        <v>89</v>
      </c>
      <c r="K32" s="10">
        <v>1817</v>
      </c>
      <c r="L32" s="10" t="s">
        <v>90</v>
      </c>
      <c r="M32" s="10">
        <v>1821</v>
      </c>
      <c r="N32" s="10">
        <v>104.9</v>
      </c>
      <c r="O32" s="10" t="s">
        <v>27</v>
      </c>
      <c r="P32" s="10">
        <v>173514</v>
      </c>
      <c r="Q32" s="11">
        <v>539057</v>
      </c>
    </row>
    <row r="33" spans="9:17" x14ac:dyDescent="0.25">
      <c r="I33" s="10" t="s">
        <v>91</v>
      </c>
      <c r="J33" s="10" t="s">
        <v>92</v>
      </c>
      <c r="K33" s="10">
        <v>1821</v>
      </c>
      <c r="L33" s="10" t="s">
        <v>93</v>
      </c>
      <c r="M33" s="10">
        <v>1826</v>
      </c>
      <c r="N33" s="10">
        <v>27.3</v>
      </c>
      <c r="O33" s="10" t="s">
        <v>20</v>
      </c>
      <c r="P33" s="10">
        <v>43079</v>
      </c>
      <c r="Q33" s="11">
        <v>149807</v>
      </c>
    </row>
    <row r="34" spans="9:17" x14ac:dyDescent="0.25">
      <c r="I34" s="10" t="s">
        <v>94</v>
      </c>
      <c r="J34" s="10" t="s">
        <v>95</v>
      </c>
      <c r="K34" s="10">
        <v>1889</v>
      </c>
      <c r="L34" s="10" t="s">
        <v>96</v>
      </c>
      <c r="M34" s="10">
        <v>1875</v>
      </c>
      <c r="N34" s="10">
        <v>14</v>
      </c>
      <c r="O34" s="10" t="s">
        <v>20</v>
      </c>
      <c r="P34" s="10">
        <v>28190</v>
      </c>
      <c r="Q34" s="11">
        <v>74801</v>
      </c>
    </row>
    <row r="35" spans="9:17" x14ac:dyDescent="0.25">
      <c r="I35" s="10" t="s">
        <v>97</v>
      </c>
      <c r="J35" s="10" t="s">
        <v>98</v>
      </c>
      <c r="K35" s="10">
        <v>1867</v>
      </c>
      <c r="L35" s="10" t="s">
        <v>99</v>
      </c>
      <c r="M35" s="10">
        <v>1867</v>
      </c>
      <c r="N35" s="10">
        <v>74.599999999999994</v>
      </c>
      <c r="O35" s="10" t="s">
        <v>20</v>
      </c>
      <c r="P35" s="10">
        <v>258379</v>
      </c>
      <c r="Q35" s="11">
        <v>302157</v>
      </c>
    </row>
    <row r="36" spans="9:17" x14ac:dyDescent="0.25">
      <c r="I36" s="10" t="s">
        <v>100</v>
      </c>
      <c r="J36" s="10" t="s">
        <v>101</v>
      </c>
      <c r="K36" s="10">
        <v>1864</v>
      </c>
      <c r="L36" s="10" t="s">
        <v>102</v>
      </c>
      <c r="M36" s="10">
        <v>1861</v>
      </c>
      <c r="N36" s="10">
        <v>143.4</v>
      </c>
      <c r="O36" s="10" t="s">
        <v>20</v>
      </c>
      <c r="P36" s="10">
        <v>55274</v>
      </c>
      <c r="Q36" s="11"/>
    </row>
    <row r="37" spans="9:17" x14ac:dyDescent="0.25">
      <c r="I37" s="10" t="s">
        <v>103</v>
      </c>
      <c r="J37" s="10" t="s">
        <v>104</v>
      </c>
      <c r="K37" s="10">
        <v>1788</v>
      </c>
      <c r="L37" s="10" t="s">
        <v>105</v>
      </c>
      <c r="M37" s="10">
        <v>1808</v>
      </c>
      <c r="N37" s="10">
        <v>64.3</v>
      </c>
      <c r="O37" s="10" t="s">
        <v>20</v>
      </c>
      <c r="P37" s="10">
        <v>42695</v>
      </c>
      <c r="Q37" s="11"/>
    </row>
    <row r="38" spans="9:17" x14ac:dyDescent="0.25">
      <c r="I38" s="10" t="s">
        <v>106</v>
      </c>
      <c r="J38" s="10" t="s">
        <v>107</v>
      </c>
      <c r="K38" s="10">
        <v>1787</v>
      </c>
      <c r="L38" s="10" t="s">
        <v>108</v>
      </c>
      <c r="M38" s="10">
        <v>1784</v>
      </c>
      <c r="N38" s="10">
        <v>7.66</v>
      </c>
      <c r="O38" s="10" t="s">
        <v>20</v>
      </c>
      <c r="P38" s="10">
        <v>84913</v>
      </c>
      <c r="Q38" s="11">
        <v>366513</v>
      </c>
    </row>
    <row r="39" spans="9:17" x14ac:dyDescent="0.25">
      <c r="I39" s="10" t="s">
        <v>109</v>
      </c>
      <c r="J39" s="10" t="s">
        <v>110</v>
      </c>
      <c r="K39" s="10">
        <v>1912</v>
      </c>
      <c r="L39" s="10" t="s">
        <v>111</v>
      </c>
      <c r="M39" s="10">
        <v>1610</v>
      </c>
      <c r="N39" s="10">
        <v>37.299999999999997</v>
      </c>
      <c r="O39" s="10" t="s">
        <v>20</v>
      </c>
      <c r="P39" s="10">
        <v>75764</v>
      </c>
      <c r="Q39" s="11">
        <v>183732</v>
      </c>
    </row>
    <row r="40" spans="9:17" x14ac:dyDescent="0.25">
      <c r="I40" s="10" t="s">
        <v>112</v>
      </c>
      <c r="J40" s="10" t="s">
        <v>113</v>
      </c>
      <c r="K40" s="10">
        <v>1788</v>
      </c>
      <c r="L40" s="10" t="s">
        <v>114</v>
      </c>
      <c r="M40" s="10">
        <v>1797</v>
      </c>
      <c r="N40" s="10">
        <v>21.4</v>
      </c>
      <c r="O40" s="10" t="s">
        <v>20</v>
      </c>
      <c r="P40" s="10">
        <v>97856</v>
      </c>
      <c r="Q40" s="11">
        <v>857592</v>
      </c>
    </row>
    <row r="41" spans="9:17" x14ac:dyDescent="0.25">
      <c r="I41" s="10" t="s">
        <v>115</v>
      </c>
      <c r="J41" s="10" t="s">
        <v>116</v>
      </c>
      <c r="K41" s="10">
        <v>1789</v>
      </c>
      <c r="L41" s="10" t="s">
        <v>117</v>
      </c>
      <c r="M41" s="10">
        <v>1792</v>
      </c>
      <c r="N41" s="10">
        <v>114.6</v>
      </c>
      <c r="O41" s="10" t="s">
        <v>20</v>
      </c>
      <c r="P41" s="10">
        <v>403892</v>
      </c>
      <c r="Q41" s="11">
        <v>1130490</v>
      </c>
    </row>
    <row r="42" spans="9:17" x14ac:dyDescent="0.25">
      <c r="I42" s="10" t="s">
        <v>118</v>
      </c>
      <c r="J42" s="10" t="s">
        <v>119</v>
      </c>
      <c r="K42" s="10">
        <v>1889</v>
      </c>
      <c r="L42" s="10" t="s">
        <v>120</v>
      </c>
      <c r="M42" s="10">
        <v>1883</v>
      </c>
      <c r="N42" s="10">
        <v>26.9</v>
      </c>
      <c r="O42" s="10" t="s">
        <v>20</v>
      </c>
      <c r="P42" s="10">
        <v>61272</v>
      </c>
      <c r="Q42" s="11">
        <v>108779</v>
      </c>
    </row>
    <row r="43" spans="9:17" x14ac:dyDescent="0.25">
      <c r="I43" s="10" t="s">
        <v>121</v>
      </c>
      <c r="J43" s="10" t="s">
        <v>122</v>
      </c>
      <c r="K43" s="10">
        <v>1803</v>
      </c>
      <c r="L43" s="10" t="s">
        <v>123</v>
      </c>
      <c r="M43" s="10">
        <v>1816</v>
      </c>
      <c r="N43" s="10">
        <v>210.3</v>
      </c>
      <c r="O43" s="10" t="s">
        <v>27</v>
      </c>
      <c r="P43" s="10">
        <v>787033</v>
      </c>
      <c r="Q43" s="11">
        <v>1836536</v>
      </c>
    </row>
    <row r="44" spans="9:17" x14ac:dyDescent="0.25">
      <c r="I44" s="10" t="s">
        <v>124</v>
      </c>
      <c r="J44" s="10" t="s">
        <v>125</v>
      </c>
      <c r="K44" s="10">
        <v>1907</v>
      </c>
      <c r="L44" s="10" t="s">
        <v>126</v>
      </c>
      <c r="M44" s="10">
        <v>1910</v>
      </c>
      <c r="N44" s="10">
        <v>607</v>
      </c>
      <c r="O44" s="10" t="s">
        <v>27</v>
      </c>
      <c r="P44" s="10">
        <v>580000</v>
      </c>
      <c r="Q44" s="11">
        <v>1252987</v>
      </c>
    </row>
    <row r="45" spans="9:17" x14ac:dyDescent="0.25">
      <c r="I45" s="10" t="s">
        <v>127</v>
      </c>
      <c r="J45" s="10" t="s">
        <v>128</v>
      </c>
      <c r="K45" s="10">
        <v>1859</v>
      </c>
      <c r="L45" s="10" t="s">
        <v>129</v>
      </c>
      <c r="M45" s="10">
        <v>1855</v>
      </c>
      <c r="N45" s="10">
        <v>45.7</v>
      </c>
      <c r="O45" s="10" t="s">
        <v>20</v>
      </c>
      <c r="P45" s="10">
        <v>154637</v>
      </c>
      <c r="Q45" s="11">
        <v>390738</v>
      </c>
    </row>
    <row r="46" spans="9:17" x14ac:dyDescent="0.25">
      <c r="I46" s="10" t="s">
        <v>130</v>
      </c>
      <c r="J46" s="10" t="s">
        <v>131</v>
      </c>
      <c r="K46" s="10">
        <v>1787</v>
      </c>
      <c r="L46" s="10" t="s">
        <v>132</v>
      </c>
      <c r="M46" s="10">
        <v>1812</v>
      </c>
      <c r="N46" s="10">
        <v>8.11</v>
      </c>
      <c r="O46" s="10" t="s">
        <v>20</v>
      </c>
      <c r="P46" s="10">
        <v>49528</v>
      </c>
      <c r="Q46" s="11">
        <v>647390</v>
      </c>
    </row>
    <row r="47" spans="9:17" x14ac:dyDescent="0.25">
      <c r="I47" s="10" t="s">
        <v>133</v>
      </c>
      <c r="J47" s="10" t="s">
        <v>134</v>
      </c>
      <c r="K47" s="10">
        <v>1790</v>
      </c>
      <c r="L47" s="10" t="s">
        <v>135</v>
      </c>
      <c r="M47" s="10">
        <v>1900</v>
      </c>
      <c r="N47" s="10">
        <v>18.5</v>
      </c>
      <c r="O47" s="10" t="s">
        <v>27</v>
      </c>
      <c r="P47" s="10">
        <v>178042</v>
      </c>
      <c r="Q47" s="11">
        <v>1630956</v>
      </c>
    </row>
    <row r="48" spans="9:17" x14ac:dyDescent="0.25">
      <c r="I48" s="10" t="s">
        <v>136</v>
      </c>
      <c r="J48" s="10" t="s">
        <v>137</v>
      </c>
      <c r="K48" s="10">
        <v>1788</v>
      </c>
      <c r="L48" s="10" t="s">
        <v>138</v>
      </c>
      <c r="M48" s="10">
        <v>1786</v>
      </c>
      <c r="N48" s="10">
        <v>125.2</v>
      </c>
      <c r="O48" s="10" t="s">
        <v>27</v>
      </c>
      <c r="P48" s="10">
        <v>131686</v>
      </c>
      <c r="Q48" s="11">
        <v>913797</v>
      </c>
    </row>
    <row r="49" spans="9:17" x14ac:dyDescent="0.25">
      <c r="I49" s="10" t="s">
        <v>139</v>
      </c>
      <c r="J49" s="10" t="s">
        <v>140</v>
      </c>
      <c r="K49" s="10">
        <v>1889</v>
      </c>
      <c r="L49" s="10" t="s">
        <v>141</v>
      </c>
      <c r="M49" s="10">
        <v>1889</v>
      </c>
      <c r="N49" s="10">
        <v>13</v>
      </c>
      <c r="O49" s="10" t="s">
        <v>20</v>
      </c>
      <c r="P49" s="10">
        <v>13646</v>
      </c>
      <c r="Q49" s="11"/>
    </row>
    <row r="50" spans="9:17" x14ac:dyDescent="0.25">
      <c r="I50" s="10" t="s">
        <v>142</v>
      </c>
      <c r="J50" s="10" t="s">
        <v>143</v>
      </c>
      <c r="K50" s="10">
        <v>1796</v>
      </c>
      <c r="L50" s="10" t="s">
        <v>144</v>
      </c>
      <c r="M50" s="10">
        <v>1826</v>
      </c>
      <c r="N50" s="10">
        <v>473.3</v>
      </c>
      <c r="O50" s="10" t="s">
        <v>20</v>
      </c>
      <c r="P50" s="10">
        <v>635710</v>
      </c>
      <c r="Q50" s="11">
        <v>1582264</v>
      </c>
    </row>
    <row r="51" spans="9:17" x14ac:dyDescent="0.25">
      <c r="I51" s="10" t="s">
        <v>145</v>
      </c>
      <c r="J51" s="10" t="s">
        <v>146</v>
      </c>
      <c r="K51" s="10">
        <v>1845</v>
      </c>
      <c r="L51" s="10" t="s">
        <v>147</v>
      </c>
      <c r="M51" s="10">
        <v>1839</v>
      </c>
      <c r="N51" s="10">
        <v>251.5</v>
      </c>
      <c r="O51" s="10" t="s">
        <v>20</v>
      </c>
      <c r="P51" s="10">
        <v>842592</v>
      </c>
      <c r="Q51" s="11">
        <v>1716291</v>
      </c>
    </row>
    <row r="52" spans="9:17" x14ac:dyDescent="0.25">
      <c r="I52" s="10" t="s">
        <v>148</v>
      </c>
      <c r="J52" s="10" t="s">
        <v>149</v>
      </c>
      <c r="K52" s="10">
        <v>1896</v>
      </c>
      <c r="L52" s="10" t="s">
        <v>150</v>
      </c>
      <c r="M52" s="10">
        <v>1858</v>
      </c>
      <c r="N52" s="10">
        <v>109.1</v>
      </c>
      <c r="O52" s="10" t="s">
        <v>27</v>
      </c>
      <c r="P52" s="10">
        <v>186440</v>
      </c>
      <c r="Q52" s="11">
        <v>1124197</v>
      </c>
    </row>
    <row r="53" spans="9:17" x14ac:dyDescent="0.25">
      <c r="I53" s="10" t="s">
        <v>151</v>
      </c>
      <c r="J53" s="10" t="s">
        <v>152</v>
      </c>
      <c r="K53" s="10">
        <v>1791</v>
      </c>
      <c r="L53" s="10" t="s">
        <v>153</v>
      </c>
      <c r="M53" s="10">
        <v>1805</v>
      </c>
      <c r="N53" s="10">
        <v>10.199999999999999</v>
      </c>
      <c r="O53" s="10" t="s">
        <v>20</v>
      </c>
      <c r="P53" s="10">
        <v>7855</v>
      </c>
      <c r="Q53" s="11"/>
    </row>
    <row r="54" spans="9:17" x14ac:dyDescent="0.25">
      <c r="I54" s="10" t="s">
        <v>154</v>
      </c>
      <c r="J54" s="10" t="s">
        <v>155</v>
      </c>
      <c r="K54" s="10">
        <v>1788</v>
      </c>
      <c r="L54" s="10" t="s">
        <v>156</v>
      </c>
      <c r="M54" s="10">
        <v>1780</v>
      </c>
      <c r="N54" s="10">
        <v>60.1</v>
      </c>
      <c r="O54" s="10" t="s">
        <v>20</v>
      </c>
      <c r="P54" s="10">
        <v>204214</v>
      </c>
      <c r="Q54" s="11">
        <v>1231675</v>
      </c>
    </row>
    <row r="55" spans="9:17" x14ac:dyDescent="0.25">
      <c r="I55" s="10" t="s">
        <v>157</v>
      </c>
      <c r="J55" s="10" t="s">
        <v>158</v>
      </c>
      <c r="K55" s="10">
        <v>1889</v>
      </c>
      <c r="L55" s="10" t="s">
        <v>159</v>
      </c>
      <c r="M55" s="10">
        <v>1853</v>
      </c>
      <c r="N55" s="10">
        <v>16.7</v>
      </c>
      <c r="O55" s="10" t="s">
        <v>20</v>
      </c>
      <c r="P55" s="10">
        <v>46478</v>
      </c>
      <c r="Q55" s="11">
        <v>234670</v>
      </c>
    </row>
    <row r="56" spans="9:17" x14ac:dyDescent="0.25">
      <c r="I56" s="10" t="s">
        <v>160</v>
      </c>
      <c r="J56" s="10" t="s">
        <v>161</v>
      </c>
      <c r="K56" s="10">
        <v>1863</v>
      </c>
      <c r="L56" s="10" t="s">
        <v>162</v>
      </c>
      <c r="M56" s="10">
        <v>1885</v>
      </c>
      <c r="N56" s="10">
        <v>31.6</v>
      </c>
      <c r="O56" s="10" t="s">
        <v>27</v>
      </c>
      <c r="P56" s="10">
        <v>51400</v>
      </c>
      <c r="Q56" s="11">
        <v>304214</v>
      </c>
    </row>
    <row r="57" spans="9:17" x14ac:dyDescent="0.25">
      <c r="I57" s="10" t="s">
        <v>163</v>
      </c>
      <c r="J57" s="10" t="s">
        <v>164</v>
      </c>
      <c r="K57" s="10">
        <v>1848</v>
      </c>
      <c r="L57" s="10" t="s">
        <v>165</v>
      </c>
      <c r="M57" s="10">
        <v>1838</v>
      </c>
      <c r="N57" s="10">
        <v>68.7</v>
      </c>
      <c r="O57" s="10" t="s">
        <v>20</v>
      </c>
      <c r="P57" s="10">
        <v>233209</v>
      </c>
      <c r="Q57" s="11">
        <v>561505</v>
      </c>
    </row>
    <row r="58" spans="9:17" x14ac:dyDescent="0.25">
      <c r="I58" s="12" t="s">
        <v>166</v>
      </c>
      <c r="J58" s="12" t="s">
        <v>167</v>
      </c>
      <c r="K58" s="12">
        <v>1890</v>
      </c>
      <c r="L58" s="12" t="s">
        <v>168</v>
      </c>
      <c r="M58" s="12">
        <v>1869</v>
      </c>
      <c r="N58" s="12">
        <v>21.1</v>
      </c>
      <c r="O58" s="12" t="s">
        <v>27</v>
      </c>
      <c r="P58" s="12">
        <v>59466</v>
      </c>
      <c r="Q58" s="13">
        <v>91738</v>
      </c>
    </row>
  </sheetData>
  <sheetProtection password="DCA3" sheet="1" objects="1" scenarios="1"/>
  <mergeCells count="1">
    <mergeCell ref="C2:H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Q58"/>
  <sheetViews>
    <sheetView showGridLines="0" showRowColHeaders="0" zoomScale="85" zoomScaleNormal="85" workbookViewId="0"/>
  </sheetViews>
  <sheetFormatPr defaultRowHeight="15" x14ac:dyDescent="0.25"/>
  <cols>
    <col min="3" max="3" width="18.28515625" customWidth="1"/>
    <col min="4" max="4" width="19.42578125" style="1" bestFit="1" customWidth="1"/>
    <col min="9" max="9" width="15.28515625" style="1" bestFit="1" customWidth="1"/>
    <col min="10" max="10" width="6.7109375" style="1" customWidth="1"/>
    <col min="11" max="11" width="19.42578125" style="1" customWidth="1"/>
    <col min="12" max="12" width="14" style="1" bestFit="1" customWidth="1"/>
    <col min="13" max="13" width="15.140625" style="1" customWidth="1"/>
    <col min="14" max="14" width="17.140625" style="1" customWidth="1"/>
    <col min="15" max="15" width="21.5703125" style="1" customWidth="1"/>
    <col min="16" max="16" width="23.140625" style="1" customWidth="1"/>
    <col min="17" max="17" width="26" style="1" customWidth="1"/>
  </cols>
  <sheetData>
    <row r="1" spans="2:17" x14ac:dyDescent="0.25">
      <c r="K1" s="1" t="s">
        <v>253</v>
      </c>
    </row>
    <row r="2" spans="2:17" ht="30" customHeight="1" x14ac:dyDescent="0.25">
      <c r="B2" t="s">
        <v>180</v>
      </c>
      <c r="C2" s="98" t="s">
        <v>178</v>
      </c>
      <c r="D2" s="98"/>
      <c r="E2" s="98"/>
      <c r="F2" s="98"/>
      <c r="G2" s="98"/>
      <c r="H2" s="98"/>
      <c r="I2" s="5" t="s">
        <v>171</v>
      </c>
      <c r="K2" s="53"/>
    </row>
    <row r="3" spans="2:17" x14ac:dyDescent="0.25">
      <c r="C3" s="15" t="s">
        <v>170</v>
      </c>
    </row>
    <row r="7" spans="2:17" x14ac:dyDescent="0.25">
      <c r="C7" s="4" t="s">
        <v>7</v>
      </c>
      <c r="I7" s="5" t="s">
        <v>169</v>
      </c>
    </row>
    <row r="8" spans="2:17" ht="15.75" thickBot="1" x14ac:dyDescent="0.3">
      <c r="C8" s="20" t="s">
        <v>10</v>
      </c>
      <c r="D8" s="18" t="s">
        <v>179</v>
      </c>
      <c r="I8" s="6" t="s">
        <v>8</v>
      </c>
      <c r="J8" s="6" t="s">
        <v>9</v>
      </c>
      <c r="K8" s="6" t="s">
        <v>10</v>
      </c>
      <c r="L8" s="6" t="s">
        <v>11</v>
      </c>
      <c r="M8" s="6" t="s">
        <v>12</v>
      </c>
      <c r="N8" s="6" t="s">
        <v>13</v>
      </c>
      <c r="O8" s="6" t="s">
        <v>14</v>
      </c>
      <c r="P8" s="6" t="s">
        <v>15</v>
      </c>
      <c r="Q8" s="7" t="s">
        <v>16</v>
      </c>
    </row>
    <row r="9" spans="2:17" ht="15.75" thickTop="1" x14ac:dyDescent="0.25">
      <c r="C9" s="10">
        <v>1787</v>
      </c>
      <c r="D9" s="19"/>
      <c r="I9" s="10" t="s">
        <v>17</v>
      </c>
      <c r="J9" s="10" t="s">
        <v>18</v>
      </c>
      <c r="K9" s="10">
        <v>1819</v>
      </c>
      <c r="L9" s="10" t="s">
        <v>19</v>
      </c>
      <c r="M9" s="10">
        <v>1846</v>
      </c>
      <c r="N9" s="10">
        <v>155.4</v>
      </c>
      <c r="O9" s="10" t="s">
        <v>20</v>
      </c>
      <c r="P9" s="10">
        <v>205764</v>
      </c>
      <c r="Q9" s="11">
        <v>374536</v>
      </c>
    </row>
    <row r="10" spans="2:17" x14ac:dyDescent="0.25">
      <c r="C10" s="10">
        <v>1788</v>
      </c>
      <c r="D10" s="19"/>
      <c r="I10" s="10" t="s">
        <v>21</v>
      </c>
      <c r="J10" s="10" t="s">
        <v>22</v>
      </c>
      <c r="K10" s="10">
        <v>1959</v>
      </c>
      <c r="L10" s="10" t="s">
        <v>23</v>
      </c>
      <c r="M10" s="10">
        <v>1906</v>
      </c>
      <c r="N10" s="10">
        <v>2716.7</v>
      </c>
      <c r="O10" s="10" t="s">
        <v>20</v>
      </c>
      <c r="P10" s="10">
        <v>31275</v>
      </c>
      <c r="Q10" s="11"/>
    </row>
    <row r="11" spans="2:17" x14ac:dyDescent="0.25">
      <c r="C11" s="10">
        <v>1789</v>
      </c>
      <c r="D11" s="19"/>
      <c r="I11" s="10" t="s">
        <v>24</v>
      </c>
      <c r="J11" s="10" t="s">
        <v>25</v>
      </c>
      <c r="K11" s="10">
        <v>1912</v>
      </c>
      <c r="L11" s="10" t="s">
        <v>26</v>
      </c>
      <c r="M11" s="10">
        <v>1889</v>
      </c>
      <c r="N11" s="10">
        <v>474.9</v>
      </c>
      <c r="O11" s="10" t="s">
        <v>27</v>
      </c>
      <c r="P11" s="10">
        <v>1445632</v>
      </c>
      <c r="Q11" s="11">
        <v>4192887</v>
      </c>
    </row>
    <row r="12" spans="2:17" x14ac:dyDescent="0.25">
      <c r="C12" s="10">
        <v>1796</v>
      </c>
      <c r="D12" s="19"/>
      <c r="I12" s="10" t="s">
        <v>28</v>
      </c>
      <c r="J12" s="10" t="s">
        <v>29</v>
      </c>
      <c r="K12" s="10">
        <v>1836</v>
      </c>
      <c r="L12" s="10" t="s">
        <v>30</v>
      </c>
      <c r="M12" s="10">
        <v>1821</v>
      </c>
      <c r="N12" s="10">
        <v>116.2</v>
      </c>
      <c r="O12" s="10" t="s">
        <v>27</v>
      </c>
      <c r="P12" s="10">
        <v>193524</v>
      </c>
      <c r="Q12" s="11">
        <v>877091</v>
      </c>
    </row>
    <row r="13" spans="2:17" x14ac:dyDescent="0.25">
      <c r="C13" s="10">
        <v>1803</v>
      </c>
      <c r="D13" s="19"/>
      <c r="I13" s="10" t="s">
        <v>31</v>
      </c>
      <c r="J13" s="10" t="s">
        <v>32</v>
      </c>
      <c r="K13" s="10">
        <v>1850</v>
      </c>
      <c r="L13" s="10" t="s">
        <v>33</v>
      </c>
      <c r="M13" s="10">
        <v>1854</v>
      </c>
      <c r="N13" s="10">
        <v>97.2</v>
      </c>
      <c r="O13" s="10" t="s">
        <v>20</v>
      </c>
      <c r="P13" s="10">
        <v>466488</v>
      </c>
      <c r="Q13" s="11">
        <v>2527123</v>
      </c>
    </row>
    <row r="14" spans="2:17" x14ac:dyDescent="0.25">
      <c r="C14" s="10">
        <v>1816</v>
      </c>
      <c r="D14" s="19"/>
      <c r="I14" s="10" t="s">
        <v>34</v>
      </c>
      <c r="J14" s="10" t="s">
        <v>35</v>
      </c>
      <c r="K14" s="10">
        <v>1876</v>
      </c>
      <c r="L14" s="10" t="s">
        <v>36</v>
      </c>
      <c r="M14" s="10">
        <v>1867</v>
      </c>
      <c r="N14" s="10">
        <v>153.4</v>
      </c>
      <c r="O14" s="10" t="s">
        <v>27</v>
      </c>
      <c r="P14" s="10">
        <v>600158</v>
      </c>
      <c r="Q14" s="11">
        <v>2552195</v>
      </c>
    </row>
    <row r="15" spans="2:17" x14ac:dyDescent="0.25">
      <c r="C15" s="10">
        <v>1819</v>
      </c>
      <c r="D15" s="19"/>
      <c r="I15" s="10" t="s">
        <v>37</v>
      </c>
      <c r="J15" s="10" t="s">
        <v>38</v>
      </c>
      <c r="K15" s="10">
        <v>1788</v>
      </c>
      <c r="L15" s="10" t="s">
        <v>39</v>
      </c>
      <c r="M15" s="10">
        <v>1875</v>
      </c>
      <c r="N15" s="10">
        <v>17.3</v>
      </c>
      <c r="O15" s="10" t="s">
        <v>20</v>
      </c>
      <c r="P15" s="10">
        <v>124512</v>
      </c>
      <c r="Q15" s="11">
        <v>1212381</v>
      </c>
    </row>
    <row r="16" spans="2:17" x14ac:dyDescent="0.25">
      <c r="C16" s="10">
        <v>1836</v>
      </c>
      <c r="D16" s="19"/>
      <c r="I16" s="10" t="s">
        <v>40</v>
      </c>
      <c r="J16" s="10" t="s">
        <v>41</v>
      </c>
      <c r="K16" s="10">
        <v>1787</v>
      </c>
      <c r="L16" s="10" t="s">
        <v>42</v>
      </c>
      <c r="M16" s="10">
        <v>1777</v>
      </c>
      <c r="N16" s="10">
        <v>22.4</v>
      </c>
      <c r="O16" s="10" t="s">
        <v>20</v>
      </c>
      <c r="P16" s="10">
        <v>36047</v>
      </c>
      <c r="Q16" s="11">
        <v>162310</v>
      </c>
    </row>
    <row r="17" spans="3:17" x14ac:dyDescent="0.25">
      <c r="C17" s="10">
        <v>1845</v>
      </c>
      <c r="D17" s="19"/>
      <c r="I17" s="10" t="s">
        <v>43</v>
      </c>
      <c r="J17" s="10" t="s">
        <v>44</v>
      </c>
      <c r="K17" s="10">
        <v>1845</v>
      </c>
      <c r="L17" s="10" t="s">
        <v>45</v>
      </c>
      <c r="M17" s="10">
        <v>1824</v>
      </c>
      <c r="N17" s="10">
        <v>95.7</v>
      </c>
      <c r="O17" s="10" t="s">
        <v>20</v>
      </c>
      <c r="P17" s="10">
        <v>181412</v>
      </c>
      <c r="Q17" s="11">
        <v>367413</v>
      </c>
    </row>
    <row r="18" spans="3:17" x14ac:dyDescent="0.25">
      <c r="C18" s="10">
        <v>1864</v>
      </c>
      <c r="D18" s="19"/>
      <c r="I18" s="10" t="s">
        <v>46</v>
      </c>
      <c r="J18" s="10" t="s">
        <v>47</v>
      </c>
      <c r="K18" s="10">
        <v>1788</v>
      </c>
      <c r="L18" s="10" t="s">
        <v>48</v>
      </c>
      <c r="M18" s="10">
        <v>1868</v>
      </c>
      <c r="N18" s="10">
        <v>131.69999999999999</v>
      </c>
      <c r="O18" s="10" t="s">
        <v>27</v>
      </c>
      <c r="P18" s="10">
        <v>420003</v>
      </c>
      <c r="Q18" s="11">
        <v>5268860</v>
      </c>
    </row>
    <row r="19" spans="3:17" x14ac:dyDescent="0.25">
      <c r="C19" s="10">
        <v>1876</v>
      </c>
      <c r="D19" s="19"/>
      <c r="I19" s="10" t="s">
        <v>49</v>
      </c>
      <c r="J19" s="10" t="s">
        <v>50</v>
      </c>
      <c r="K19" s="10">
        <v>1959</v>
      </c>
      <c r="L19" s="10" t="s">
        <v>51</v>
      </c>
      <c r="M19" s="10">
        <v>1845</v>
      </c>
      <c r="N19" s="10">
        <v>85.7</v>
      </c>
      <c r="O19" s="10" t="s">
        <v>27</v>
      </c>
      <c r="P19" s="10">
        <v>337256</v>
      </c>
      <c r="Q19" s="11">
        <v>953207</v>
      </c>
    </row>
    <row r="20" spans="3:17" x14ac:dyDescent="0.25">
      <c r="C20" s="10">
        <v>1896</v>
      </c>
      <c r="D20" s="19"/>
      <c r="I20" s="10" t="s">
        <v>52</v>
      </c>
      <c r="J20" s="10" t="s">
        <v>53</v>
      </c>
      <c r="K20" s="10">
        <v>1890</v>
      </c>
      <c r="L20" s="10" t="s">
        <v>54</v>
      </c>
      <c r="M20" s="10">
        <v>1865</v>
      </c>
      <c r="N20" s="10">
        <v>63.8</v>
      </c>
      <c r="O20" s="10" t="s">
        <v>27</v>
      </c>
      <c r="P20" s="10">
        <v>205671</v>
      </c>
      <c r="Q20" s="11">
        <v>616561</v>
      </c>
    </row>
    <row r="21" spans="3:17" x14ac:dyDescent="0.25">
      <c r="C21" s="10">
        <v>1907</v>
      </c>
      <c r="D21" s="19"/>
      <c r="I21" s="10" t="s">
        <v>55</v>
      </c>
      <c r="J21" s="10" t="s">
        <v>56</v>
      </c>
      <c r="K21" s="10">
        <v>1818</v>
      </c>
      <c r="L21" s="10" t="s">
        <v>57</v>
      </c>
      <c r="M21" s="10">
        <v>1837</v>
      </c>
      <c r="N21" s="10">
        <v>54</v>
      </c>
      <c r="O21" s="10" t="s">
        <v>20</v>
      </c>
      <c r="P21" s="10">
        <v>116250</v>
      </c>
      <c r="Q21" s="11">
        <v>208182</v>
      </c>
    </row>
    <row r="22" spans="3:17" x14ac:dyDescent="0.25">
      <c r="C22" s="10">
        <v>1912</v>
      </c>
      <c r="D22" s="19"/>
      <c r="I22" s="10" t="s">
        <v>58</v>
      </c>
      <c r="J22" s="10" t="s">
        <v>59</v>
      </c>
      <c r="K22" s="10">
        <v>1816</v>
      </c>
      <c r="L22" s="10" t="s">
        <v>60</v>
      </c>
      <c r="M22" s="10">
        <v>1825</v>
      </c>
      <c r="N22" s="10">
        <v>361.5</v>
      </c>
      <c r="O22" s="10" t="s">
        <v>27</v>
      </c>
      <c r="P22" s="10">
        <v>829718</v>
      </c>
      <c r="Q22" s="11">
        <v>1756221</v>
      </c>
    </row>
    <row r="23" spans="3:17" x14ac:dyDescent="0.25">
      <c r="C23" s="10">
        <v>1959</v>
      </c>
      <c r="D23" s="19"/>
      <c r="I23" s="10" t="s">
        <v>61</v>
      </c>
      <c r="J23" s="10" t="s">
        <v>62</v>
      </c>
      <c r="K23" s="10">
        <v>1846</v>
      </c>
      <c r="L23" s="10" t="s">
        <v>63</v>
      </c>
      <c r="M23" s="10">
        <v>1857</v>
      </c>
      <c r="N23" s="10">
        <v>75.8</v>
      </c>
      <c r="O23" s="10" t="s">
        <v>27</v>
      </c>
      <c r="P23" s="10">
        <v>203433</v>
      </c>
      <c r="Q23" s="11">
        <v>580255</v>
      </c>
    </row>
    <row r="24" spans="3:17" x14ac:dyDescent="0.25">
      <c r="D24" s="10">
        <f>SUM(D9:D23)</f>
        <v>0</v>
      </c>
      <c r="I24" s="10" t="s">
        <v>64</v>
      </c>
      <c r="J24" s="10" t="s">
        <v>65</v>
      </c>
      <c r="K24" s="10">
        <v>1861</v>
      </c>
      <c r="L24" s="10" t="s">
        <v>66</v>
      </c>
      <c r="M24" s="10">
        <v>1856</v>
      </c>
      <c r="N24" s="10">
        <v>56</v>
      </c>
      <c r="O24" s="10" t="s">
        <v>20</v>
      </c>
      <c r="P24" s="10">
        <v>127473</v>
      </c>
      <c r="Q24" s="11">
        <v>230824</v>
      </c>
    </row>
    <row r="25" spans="3:17" x14ac:dyDescent="0.25">
      <c r="I25" s="10" t="s">
        <v>67</v>
      </c>
      <c r="J25" s="10" t="s">
        <v>68</v>
      </c>
      <c r="K25" s="10">
        <v>1792</v>
      </c>
      <c r="L25" s="10" t="s">
        <v>69</v>
      </c>
      <c r="M25" s="10">
        <v>1792</v>
      </c>
      <c r="N25" s="10">
        <v>14.7</v>
      </c>
      <c r="O25" s="10" t="s">
        <v>20</v>
      </c>
      <c r="P25" s="10">
        <v>25527</v>
      </c>
      <c r="Q25" s="11">
        <v>70758</v>
      </c>
    </row>
    <row r="26" spans="3:17" x14ac:dyDescent="0.25">
      <c r="I26" s="10" t="s">
        <v>70</v>
      </c>
      <c r="J26" s="10" t="s">
        <v>71</v>
      </c>
      <c r="K26" s="10">
        <v>1812</v>
      </c>
      <c r="L26" s="10" t="s">
        <v>72</v>
      </c>
      <c r="M26" s="10">
        <v>1880</v>
      </c>
      <c r="N26" s="10">
        <v>76.8</v>
      </c>
      <c r="O26" s="10" t="s">
        <v>20</v>
      </c>
      <c r="P26" s="10">
        <v>229553</v>
      </c>
      <c r="Q26" s="11">
        <v>802484</v>
      </c>
    </row>
    <row r="27" spans="3:17" x14ac:dyDescent="0.25">
      <c r="I27" s="10" t="s">
        <v>73</v>
      </c>
      <c r="J27" s="10" t="s">
        <v>74</v>
      </c>
      <c r="K27" s="10">
        <v>1820</v>
      </c>
      <c r="L27" s="10" t="s">
        <v>75</v>
      </c>
      <c r="M27" s="10">
        <v>1832</v>
      </c>
      <c r="N27" s="10">
        <v>55.4</v>
      </c>
      <c r="O27" s="10" t="s">
        <v>20</v>
      </c>
      <c r="P27" s="10">
        <v>19136</v>
      </c>
      <c r="Q27" s="11">
        <v>117114</v>
      </c>
    </row>
    <row r="28" spans="3:17" x14ac:dyDescent="0.25">
      <c r="I28" s="10" t="s">
        <v>76</v>
      </c>
      <c r="J28" s="10" t="s">
        <v>77</v>
      </c>
      <c r="K28" s="10">
        <v>1788</v>
      </c>
      <c r="L28" s="10" t="s">
        <v>78</v>
      </c>
      <c r="M28" s="10">
        <v>1694</v>
      </c>
      <c r="N28" s="10">
        <v>6.73</v>
      </c>
      <c r="O28" s="10" t="s">
        <v>20</v>
      </c>
      <c r="P28" s="10">
        <v>38394</v>
      </c>
      <c r="Q28" s="11"/>
    </row>
    <row r="29" spans="3:17" x14ac:dyDescent="0.25">
      <c r="I29" s="10" t="s">
        <v>79</v>
      </c>
      <c r="J29" s="10" t="s">
        <v>80</v>
      </c>
      <c r="K29" s="10">
        <v>1788</v>
      </c>
      <c r="L29" s="10" t="s">
        <v>81</v>
      </c>
      <c r="M29" s="10">
        <v>1630</v>
      </c>
      <c r="N29" s="10">
        <v>48.4</v>
      </c>
      <c r="O29" s="10" t="s">
        <v>27</v>
      </c>
      <c r="P29" s="10">
        <v>617594</v>
      </c>
      <c r="Q29" s="11">
        <v>4522858</v>
      </c>
    </row>
    <row r="30" spans="3:17" x14ac:dyDescent="0.25">
      <c r="I30" s="10" t="s">
        <v>82</v>
      </c>
      <c r="J30" s="10" t="s">
        <v>83</v>
      </c>
      <c r="K30" s="10">
        <v>1837</v>
      </c>
      <c r="L30" s="10" t="s">
        <v>84</v>
      </c>
      <c r="M30" s="10">
        <v>1847</v>
      </c>
      <c r="N30" s="10">
        <v>35</v>
      </c>
      <c r="O30" s="10" t="s">
        <v>20</v>
      </c>
      <c r="P30" s="10">
        <v>114297</v>
      </c>
      <c r="Q30" s="11">
        <v>464036</v>
      </c>
    </row>
    <row r="31" spans="3:17" x14ac:dyDescent="0.25">
      <c r="I31" s="10" t="s">
        <v>85</v>
      </c>
      <c r="J31" s="10" t="s">
        <v>86</v>
      </c>
      <c r="K31" s="10">
        <v>1858</v>
      </c>
      <c r="L31" s="10" t="s">
        <v>87</v>
      </c>
      <c r="M31" s="10">
        <v>1849</v>
      </c>
      <c r="N31" s="10">
        <v>52.8</v>
      </c>
      <c r="O31" s="10" t="s">
        <v>20</v>
      </c>
      <c r="P31" s="10">
        <v>285068</v>
      </c>
      <c r="Q31" s="11">
        <v>3502891</v>
      </c>
    </row>
    <row r="32" spans="3:17" x14ac:dyDescent="0.25">
      <c r="I32" s="10" t="s">
        <v>88</v>
      </c>
      <c r="J32" s="10" t="s">
        <v>89</v>
      </c>
      <c r="K32" s="10">
        <v>1817</v>
      </c>
      <c r="L32" s="10" t="s">
        <v>90</v>
      </c>
      <c r="M32" s="10">
        <v>1821</v>
      </c>
      <c r="N32" s="10">
        <v>104.9</v>
      </c>
      <c r="O32" s="10" t="s">
        <v>27</v>
      </c>
      <c r="P32" s="10">
        <v>173514</v>
      </c>
      <c r="Q32" s="11">
        <v>539057</v>
      </c>
    </row>
    <row r="33" spans="9:17" x14ac:dyDescent="0.25">
      <c r="I33" s="10" t="s">
        <v>91</v>
      </c>
      <c r="J33" s="10" t="s">
        <v>92</v>
      </c>
      <c r="K33" s="10">
        <v>1821</v>
      </c>
      <c r="L33" s="10" t="s">
        <v>93</v>
      </c>
      <c r="M33" s="10">
        <v>1826</v>
      </c>
      <c r="N33" s="10">
        <v>27.3</v>
      </c>
      <c r="O33" s="10" t="s">
        <v>20</v>
      </c>
      <c r="P33" s="10">
        <v>43079</v>
      </c>
      <c r="Q33" s="11">
        <v>149807</v>
      </c>
    </row>
    <row r="34" spans="9:17" x14ac:dyDescent="0.25">
      <c r="I34" s="10" t="s">
        <v>94</v>
      </c>
      <c r="J34" s="10" t="s">
        <v>95</v>
      </c>
      <c r="K34" s="10">
        <v>1889</v>
      </c>
      <c r="L34" s="10" t="s">
        <v>96</v>
      </c>
      <c r="M34" s="10">
        <v>1875</v>
      </c>
      <c r="N34" s="10">
        <v>14</v>
      </c>
      <c r="O34" s="10" t="s">
        <v>20</v>
      </c>
      <c r="P34" s="10">
        <v>28190</v>
      </c>
      <c r="Q34" s="11">
        <v>74801</v>
      </c>
    </row>
    <row r="35" spans="9:17" x14ac:dyDescent="0.25">
      <c r="I35" s="10" t="s">
        <v>97</v>
      </c>
      <c r="J35" s="10" t="s">
        <v>98</v>
      </c>
      <c r="K35" s="10">
        <v>1867</v>
      </c>
      <c r="L35" s="10" t="s">
        <v>99</v>
      </c>
      <c r="M35" s="10">
        <v>1867</v>
      </c>
      <c r="N35" s="10">
        <v>74.599999999999994</v>
      </c>
      <c r="O35" s="10" t="s">
        <v>20</v>
      </c>
      <c r="P35" s="10">
        <v>258379</v>
      </c>
      <c r="Q35" s="11">
        <v>302157</v>
      </c>
    </row>
    <row r="36" spans="9:17" x14ac:dyDescent="0.25">
      <c r="I36" s="10" t="s">
        <v>100</v>
      </c>
      <c r="J36" s="10" t="s">
        <v>101</v>
      </c>
      <c r="K36" s="10">
        <v>1864</v>
      </c>
      <c r="L36" s="10" t="s">
        <v>102</v>
      </c>
      <c r="M36" s="10">
        <v>1861</v>
      </c>
      <c r="N36" s="10">
        <v>143.4</v>
      </c>
      <c r="O36" s="10" t="s">
        <v>20</v>
      </c>
      <c r="P36" s="10">
        <v>55274</v>
      </c>
      <c r="Q36" s="11"/>
    </row>
    <row r="37" spans="9:17" x14ac:dyDescent="0.25">
      <c r="I37" s="10" t="s">
        <v>103</v>
      </c>
      <c r="J37" s="10" t="s">
        <v>104</v>
      </c>
      <c r="K37" s="10">
        <v>1788</v>
      </c>
      <c r="L37" s="10" t="s">
        <v>105</v>
      </c>
      <c r="M37" s="10">
        <v>1808</v>
      </c>
      <c r="N37" s="10">
        <v>64.3</v>
      </c>
      <c r="O37" s="10" t="s">
        <v>20</v>
      </c>
      <c r="P37" s="10">
        <v>42695</v>
      </c>
      <c r="Q37" s="11"/>
    </row>
    <row r="38" spans="9:17" x14ac:dyDescent="0.25">
      <c r="I38" s="10" t="s">
        <v>106</v>
      </c>
      <c r="J38" s="10" t="s">
        <v>107</v>
      </c>
      <c r="K38" s="10">
        <v>1787</v>
      </c>
      <c r="L38" s="10" t="s">
        <v>108</v>
      </c>
      <c r="M38" s="10">
        <v>1784</v>
      </c>
      <c r="N38" s="10">
        <v>7.66</v>
      </c>
      <c r="O38" s="10" t="s">
        <v>20</v>
      </c>
      <c r="P38" s="10">
        <v>84913</v>
      </c>
      <c r="Q38" s="11">
        <v>366513</v>
      </c>
    </row>
    <row r="39" spans="9:17" x14ac:dyDescent="0.25">
      <c r="I39" s="10" t="s">
        <v>109</v>
      </c>
      <c r="J39" s="10" t="s">
        <v>110</v>
      </c>
      <c r="K39" s="10">
        <v>1912</v>
      </c>
      <c r="L39" s="10" t="s">
        <v>111</v>
      </c>
      <c r="M39" s="10">
        <v>1610</v>
      </c>
      <c r="N39" s="10">
        <v>37.299999999999997</v>
      </c>
      <c r="O39" s="10" t="s">
        <v>20</v>
      </c>
      <c r="P39" s="10">
        <v>75764</v>
      </c>
      <c r="Q39" s="11">
        <v>183732</v>
      </c>
    </row>
    <row r="40" spans="9:17" x14ac:dyDescent="0.25">
      <c r="I40" s="10" t="s">
        <v>112</v>
      </c>
      <c r="J40" s="10" t="s">
        <v>113</v>
      </c>
      <c r="K40" s="10">
        <v>1788</v>
      </c>
      <c r="L40" s="10" t="s">
        <v>114</v>
      </c>
      <c r="M40" s="10">
        <v>1797</v>
      </c>
      <c r="N40" s="10">
        <v>21.4</v>
      </c>
      <c r="O40" s="10" t="s">
        <v>20</v>
      </c>
      <c r="P40" s="10">
        <v>97856</v>
      </c>
      <c r="Q40" s="11">
        <v>857592</v>
      </c>
    </row>
    <row r="41" spans="9:17" x14ac:dyDescent="0.25">
      <c r="I41" s="10" t="s">
        <v>115</v>
      </c>
      <c r="J41" s="10" t="s">
        <v>116</v>
      </c>
      <c r="K41" s="10">
        <v>1789</v>
      </c>
      <c r="L41" s="10" t="s">
        <v>117</v>
      </c>
      <c r="M41" s="10">
        <v>1792</v>
      </c>
      <c r="N41" s="10">
        <v>114.6</v>
      </c>
      <c r="O41" s="10" t="s">
        <v>20</v>
      </c>
      <c r="P41" s="10">
        <v>403892</v>
      </c>
      <c r="Q41" s="11">
        <v>1130490</v>
      </c>
    </row>
    <row r="42" spans="9:17" x14ac:dyDescent="0.25">
      <c r="I42" s="10" t="s">
        <v>118</v>
      </c>
      <c r="J42" s="10" t="s">
        <v>119</v>
      </c>
      <c r="K42" s="10">
        <v>1889</v>
      </c>
      <c r="L42" s="10" t="s">
        <v>120</v>
      </c>
      <c r="M42" s="10">
        <v>1883</v>
      </c>
      <c r="N42" s="10">
        <v>26.9</v>
      </c>
      <c r="O42" s="10" t="s">
        <v>20</v>
      </c>
      <c r="P42" s="10">
        <v>61272</v>
      </c>
      <c r="Q42" s="11">
        <v>108779</v>
      </c>
    </row>
    <row r="43" spans="9:17" x14ac:dyDescent="0.25">
      <c r="I43" s="10" t="s">
        <v>121</v>
      </c>
      <c r="J43" s="10" t="s">
        <v>122</v>
      </c>
      <c r="K43" s="10">
        <v>1803</v>
      </c>
      <c r="L43" s="10" t="s">
        <v>123</v>
      </c>
      <c r="M43" s="10">
        <v>1816</v>
      </c>
      <c r="N43" s="10">
        <v>210.3</v>
      </c>
      <c r="O43" s="10" t="s">
        <v>27</v>
      </c>
      <c r="P43" s="10">
        <v>787033</v>
      </c>
      <c r="Q43" s="11">
        <v>1836536</v>
      </c>
    </row>
    <row r="44" spans="9:17" x14ac:dyDescent="0.25">
      <c r="I44" s="10" t="s">
        <v>124</v>
      </c>
      <c r="J44" s="10" t="s">
        <v>125</v>
      </c>
      <c r="K44" s="10">
        <v>1907</v>
      </c>
      <c r="L44" s="10" t="s">
        <v>126</v>
      </c>
      <c r="M44" s="10">
        <v>1910</v>
      </c>
      <c r="N44" s="10">
        <v>607</v>
      </c>
      <c r="O44" s="10" t="s">
        <v>27</v>
      </c>
      <c r="P44" s="10">
        <v>580000</v>
      </c>
      <c r="Q44" s="11">
        <v>1252987</v>
      </c>
    </row>
    <row r="45" spans="9:17" x14ac:dyDescent="0.25">
      <c r="I45" s="10" t="s">
        <v>127</v>
      </c>
      <c r="J45" s="10" t="s">
        <v>128</v>
      </c>
      <c r="K45" s="10">
        <v>1859</v>
      </c>
      <c r="L45" s="10" t="s">
        <v>129</v>
      </c>
      <c r="M45" s="10">
        <v>1855</v>
      </c>
      <c r="N45" s="10">
        <v>45.7</v>
      </c>
      <c r="O45" s="10" t="s">
        <v>20</v>
      </c>
      <c r="P45" s="10">
        <v>154637</v>
      </c>
      <c r="Q45" s="11">
        <v>390738</v>
      </c>
    </row>
    <row r="46" spans="9:17" x14ac:dyDescent="0.25">
      <c r="I46" s="10" t="s">
        <v>130</v>
      </c>
      <c r="J46" s="10" t="s">
        <v>131</v>
      </c>
      <c r="K46" s="10">
        <v>1787</v>
      </c>
      <c r="L46" s="10" t="s">
        <v>132</v>
      </c>
      <c r="M46" s="10">
        <v>1812</v>
      </c>
      <c r="N46" s="10">
        <v>8.11</v>
      </c>
      <c r="O46" s="10" t="s">
        <v>20</v>
      </c>
      <c r="P46" s="10">
        <v>49528</v>
      </c>
      <c r="Q46" s="11">
        <v>647390</v>
      </c>
    </row>
    <row r="47" spans="9:17" x14ac:dyDescent="0.25">
      <c r="I47" s="10" t="s">
        <v>133</v>
      </c>
      <c r="J47" s="10" t="s">
        <v>134</v>
      </c>
      <c r="K47" s="10">
        <v>1790</v>
      </c>
      <c r="L47" s="10" t="s">
        <v>135</v>
      </c>
      <c r="M47" s="10">
        <v>1900</v>
      </c>
      <c r="N47" s="10">
        <v>18.5</v>
      </c>
      <c r="O47" s="10" t="s">
        <v>27</v>
      </c>
      <c r="P47" s="10">
        <v>178042</v>
      </c>
      <c r="Q47" s="11">
        <v>1630956</v>
      </c>
    </row>
    <row r="48" spans="9:17" x14ac:dyDescent="0.25">
      <c r="I48" s="10" t="s">
        <v>136</v>
      </c>
      <c r="J48" s="10" t="s">
        <v>137</v>
      </c>
      <c r="K48" s="10">
        <v>1788</v>
      </c>
      <c r="L48" s="10" t="s">
        <v>138</v>
      </c>
      <c r="M48" s="10">
        <v>1786</v>
      </c>
      <c r="N48" s="10">
        <v>125.2</v>
      </c>
      <c r="O48" s="10" t="s">
        <v>27</v>
      </c>
      <c r="P48" s="10">
        <v>131686</v>
      </c>
      <c r="Q48" s="11">
        <v>913797</v>
      </c>
    </row>
    <row r="49" spans="9:17" x14ac:dyDescent="0.25">
      <c r="I49" s="10" t="s">
        <v>139</v>
      </c>
      <c r="J49" s="10" t="s">
        <v>140</v>
      </c>
      <c r="K49" s="10">
        <v>1889</v>
      </c>
      <c r="L49" s="10" t="s">
        <v>141</v>
      </c>
      <c r="M49" s="10">
        <v>1889</v>
      </c>
      <c r="N49" s="10">
        <v>13</v>
      </c>
      <c r="O49" s="10" t="s">
        <v>20</v>
      </c>
      <c r="P49" s="10">
        <v>13646</v>
      </c>
      <c r="Q49" s="11"/>
    </row>
    <row r="50" spans="9:17" x14ac:dyDescent="0.25">
      <c r="I50" s="10" t="s">
        <v>142</v>
      </c>
      <c r="J50" s="10" t="s">
        <v>143</v>
      </c>
      <c r="K50" s="10">
        <v>1796</v>
      </c>
      <c r="L50" s="10" t="s">
        <v>144</v>
      </c>
      <c r="M50" s="10">
        <v>1826</v>
      </c>
      <c r="N50" s="10">
        <v>473.3</v>
      </c>
      <c r="O50" s="10" t="s">
        <v>20</v>
      </c>
      <c r="P50" s="10">
        <v>635710</v>
      </c>
      <c r="Q50" s="11">
        <v>1582264</v>
      </c>
    </row>
    <row r="51" spans="9:17" x14ac:dyDescent="0.25">
      <c r="I51" s="10" t="s">
        <v>145</v>
      </c>
      <c r="J51" s="10" t="s">
        <v>146</v>
      </c>
      <c r="K51" s="10">
        <v>1845</v>
      </c>
      <c r="L51" s="10" t="s">
        <v>147</v>
      </c>
      <c r="M51" s="10">
        <v>1839</v>
      </c>
      <c r="N51" s="10">
        <v>251.5</v>
      </c>
      <c r="O51" s="10" t="s">
        <v>20</v>
      </c>
      <c r="P51" s="10">
        <v>842592</v>
      </c>
      <c r="Q51" s="11">
        <v>1716291</v>
      </c>
    </row>
    <row r="52" spans="9:17" x14ac:dyDescent="0.25">
      <c r="I52" s="10" t="s">
        <v>148</v>
      </c>
      <c r="J52" s="10" t="s">
        <v>149</v>
      </c>
      <c r="K52" s="10">
        <v>1896</v>
      </c>
      <c r="L52" s="10" t="s">
        <v>150</v>
      </c>
      <c r="M52" s="10">
        <v>1858</v>
      </c>
      <c r="N52" s="10">
        <v>109.1</v>
      </c>
      <c r="O52" s="10" t="s">
        <v>27</v>
      </c>
      <c r="P52" s="10">
        <v>186440</v>
      </c>
      <c r="Q52" s="11">
        <v>1124197</v>
      </c>
    </row>
    <row r="53" spans="9:17" x14ac:dyDescent="0.25">
      <c r="I53" s="10" t="s">
        <v>151</v>
      </c>
      <c r="J53" s="10" t="s">
        <v>152</v>
      </c>
      <c r="K53" s="10">
        <v>1791</v>
      </c>
      <c r="L53" s="10" t="s">
        <v>153</v>
      </c>
      <c r="M53" s="10">
        <v>1805</v>
      </c>
      <c r="N53" s="10">
        <v>10.199999999999999</v>
      </c>
      <c r="O53" s="10" t="s">
        <v>20</v>
      </c>
      <c r="P53" s="10">
        <v>7855</v>
      </c>
      <c r="Q53" s="11"/>
    </row>
    <row r="54" spans="9:17" x14ac:dyDescent="0.25">
      <c r="I54" s="10" t="s">
        <v>154</v>
      </c>
      <c r="J54" s="10" t="s">
        <v>155</v>
      </c>
      <c r="K54" s="10">
        <v>1788</v>
      </c>
      <c r="L54" s="10" t="s">
        <v>156</v>
      </c>
      <c r="M54" s="10">
        <v>1780</v>
      </c>
      <c r="N54" s="10">
        <v>60.1</v>
      </c>
      <c r="O54" s="10" t="s">
        <v>20</v>
      </c>
      <c r="P54" s="10">
        <v>204214</v>
      </c>
      <c r="Q54" s="11">
        <v>1231675</v>
      </c>
    </row>
    <row r="55" spans="9:17" x14ac:dyDescent="0.25">
      <c r="I55" s="10" t="s">
        <v>157</v>
      </c>
      <c r="J55" s="10" t="s">
        <v>158</v>
      </c>
      <c r="K55" s="10">
        <v>1889</v>
      </c>
      <c r="L55" s="10" t="s">
        <v>159</v>
      </c>
      <c r="M55" s="10">
        <v>1853</v>
      </c>
      <c r="N55" s="10">
        <v>16.7</v>
      </c>
      <c r="O55" s="10" t="s">
        <v>20</v>
      </c>
      <c r="P55" s="10">
        <v>46478</v>
      </c>
      <c r="Q55" s="11">
        <v>234670</v>
      </c>
    </row>
    <row r="56" spans="9:17" x14ac:dyDescent="0.25">
      <c r="I56" s="10" t="s">
        <v>160</v>
      </c>
      <c r="J56" s="10" t="s">
        <v>161</v>
      </c>
      <c r="K56" s="10">
        <v>1863</v>
      </c>
      <c r="L56" s="10" t="s">
        <v>162</v>
      </c>
      <c r="M56" s="10">
        <v>1885</v>
      </c>
      <c r="N56" s="10">
        <v>31.6</v>
      </c>
      <c r="O56" s="10" t="s">
        <v>27</v>
      </c>
      <c r="P56" s="10">
        <v>51400</v>
      </c>
      <c r="Q56" s="11">
        <v>304214</v>
      </c>
    </row>
    <row r="57" spans="9:17" x14ac:dyDescent="0.25">
      <c r="I57" s="10" t="s">
        <v>163</v>
      </c>
      <c r="J57" s="10" t="s">
        <v>164</v>
      </c>
      <c r="K57" s="10">
        <v>1848</v>
      </c>
      <c r="L57" s="10" t="s">
        <v>165</v>
      </c>
      <c r="M57" s="10">
        <v>1838</v>
      </c>
      <c r="N57" s="10">
        <v>68.7</v>
      </c>
      <c r="O57" s="10" t="s">
        <v>20</v>
      </c>
      <c r="P57" s="10">
        <v>233209</v>
      </c>
      <c r="Q57" s="11">
        <v>561505</v>
      </c>
    </row>
    <row r="58" spans="9:17" x14ac:dyDescent="0.25">
      <c r="I58" s="12" t="s">
        <v>166</v>
      </c>
      <c r="J58" s="12" t="s">
        <v>167</v>
      </c>
      <c r="K58" s="12">
        <v>1890</v>
      </c>
      <c r="L58" s="12" t="s">
        <v>168</v>
      </c>
      <c r="M58" s="12">
        <v>1869</v>
      </c>
      <c r="N58" s="12">
        <v>21.1</v>
      </c>
      <c r="O58" s="12" t="s">
        <v>27</v>
      </c>
      <c r="P58" s="12">
        <v>59466</v>
      </c>
      <c r="Q58" s="13">
        <v>91738</v>
      </c>
    </row>
  </sheetData>
  <sheetProtection password="DCA3" sheet="1" objects="1" scenarios="1"/>
  <sortState xmlns:xlrd2="http://schemas.microsoft.com/office/spreadsheetml/2017/richdata2" ref="C9:D23">
    <sortCondition ref="C9:C23"/>
  </sortState>
  <mergeCells count="1">
    <mergeCell ref="C2:H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L28"/>
  <sheetViews>
    <sheetView showGridLines="0" showRowColHeaders="0" zoomScale="85" zoomScaleNormal="85" workbookViewId="0"/>
  </sheetViews>
  <sheetFormatPr defaultRowHeight="15" x14ac:dyDescent="0.25"/>
  <cols>
    <col min="3" max="3" width="19.140625" bestFit="1" customWidth="1"/>
    <col min="4" max="4" width="18.140625" style="1" customWidth="1"/>
    <col min="5" max="6" width="11.42578125" bestFit="1" customWidth="1"/>
    <col min="7" max="7" width="12.7109375" customWidth="1"/>
    <col min="8" max="8" width="5.140625" customWidth="1"/>
    <col min="9" max="9" width="7.85546875" style="1" bestFit="1" customWidth="1"/>
    <col min="10" max="10" width="2.85546875" style="1" customWidth="1"/>
    <col min="11" max="11" width="15.5703125" style="1" customWidth="1"/>
    <col min="12" max="12" width="19.42578125" style="1" customWidth="1"/>
    <col min="13" max="13" width="19.5703125" bestFit="1" customWidth="1"/>
  </cols>
  <sheetData>
    <row r="1" spans="2:11" x14ac:dyDescent="0.25">
      <c r="K1" s="1" t="s">
        <v>253</v>
      </c>
    </row>
    <row r="2" spans="2:11" x14ac:dyDescent="0.25">
      <c r="B2" t="s">
        <v>207</v>
      </c>
      <c r="C2" s="98" t="s">
        <v>205</v>
      </c>
      <c r="D2" s="98"/>
      <c r="E2" s="98"/>
      <c r="F2" s="98"/>
      <c r="G2" s="98"/>
      <c r="H2" s="98"/>
      <c r="I2" s="5" t="s">
        <v>171</v>
      </c>
      <c r="K2" s="53"/>
    </row>
    <row r="3" spans="2:11" x14ac:dyDescent="0.25">
      <c r="C3" s="15" t="s">
        <v>170</v>
      </c>
    </row>
    <row r="7" spans="2:11" x14ac:dyDescent="0.25">
      <c r="C7" s="4" t="s">
        <v>7</v>
      </c>
    </row>
    <row r="8" spans="2:11" ht="30.75" thickBot="1" x14ac:dyDescent="0.3">
      <c r="C8" s="6" t="s">
        <v>181</v>
      </c>
      <c r="D8" s="21" t="s">
        <v>184</v>
      </c>
      <c r="E8" s="21" t="s">
        <v>182</v>
      </c>
      <c r="F8" s="21" t="s">
        <v>183</v>
      </c>
      <c r="G8" s="23" t="s">
        <v>206</v>
      </c>
    </row>
    <row r="9" spans="2:11" ht="15.75" thickTop="1" x14ac:dyDescent="0.25">
      <c r="C9" s="14" t="s">
        <v>185</v>
      </c>
      <c r="D9" s="10">
        <v>23</v>
      </c>
      <c r="E9" s="10">
        <v>17</v>
      </c>
      <c r="F9" s="10">
        <v>6</v>
      </c>
      <c r="G9" s="22"/>
    </row>
    <row r="10" spans="2:11" x14ac:dyDescent="0.25">
      <c r="C10" s="14" t="s">
        <v>186</v>
      </c>
      <c r="D10" s="10">
        <v>27</v>
      </c>
      <c r="E10" s="10">
        <v>20</v>
      </c>
      <c r="F10" s="10">
        <v>7</v>
      </c>
      <c r="G10" s="22"/>
    </row>
    <row r="11" spans="2:11" x14ac:dyDescent="0.25">
      <c r="C11" s="14" t="s">
        <v>187</v>
      </c>
      <c r="D11" s="10">
        <v>24</v>
      </c>
      <c r="E11" s="10">
        <v>21</v>
      </c>
      <c r="F11" s="10">
        <v>3</v>
      </c>
      <c r="G11" s="22"/>
    </row>
    <row r="12" spans="2:11" x14ac:dyDescent="0.25">
      <c r="C12" s="14" t="s">
        <v>188</v>
      </c>
      <c r="D12" s="10">
        <v>23</v>
      </c>
      <c r="E12" s="10">
        <v>16</v>
      </c>
      <c r="F12" s="10">
        <v>7</v>
      </c>
      <c r="G12" s="22"/>
    </row>
    <row r="13" spans="2:11" x14ac:dyDescent="0.25">
      <c r="C13" s="14" t="s">
        <v>189</v>
      </c>
      <c r="D13" s="10">
        <v>27</v>
      </c>
      <c r="E13" s="10">
        <v>22</v>
      </c>
      <c r="F13" s="10">
        <v>5</v>
      </c>
      <c r="G13" s="22"/>
    </row>
    <row r="14" spans="2:11" x14ac:dyDescent="0.25">
      <c r="C14" s="14" t="s">
        <v>190</v>
      </c>
      <c r="D14" s="10">
        <v>25</v>
      </c>
      <c r="E14" s="10">
        <v>25</v>
      </c>
      <c r="F14" s="10">
        <v>0</v>
      </c>
      <c r="G14" s="22"/>
    </row>
    <row r="15" spans="2:11" x14ac:dyDescent="0.25">
      <c r="C15" s="14" t="s">
        <v>191</v>
      </c>
      <c r="D15" s="10">
        <v>23</v>
      </c>
      <c r="E15" s="10">
        <v>20</v>
      </c>
      <c r="F15" s="10">
        <v>3</v>
      </c>
      <c r="G15" s="22"/>
    </row>
    <row r="16" spans="2:11" x14ac:dyDescent="0.25">
      <c r="C16" s="14" t="s">
        <v>192</v>
      </c>
      <c r="D16" s="10">
        <v>27</v>
      </c>
      <c r="E16" s="10">
        <v>23</v>
      </c>
      <c r="F16" s="10">
        <v>4</v>
      </c>
      <c r="G16" s="22"/>
    </row>
    <row r="17" spans="3:7" x14ac:dyDescent="0.25">
      <c r="C17" s="14" t="s">
        <v>193</v>
      </c>
      <c r="D17" s="10">
        <v>27</v>
      </c>
      <c r="E17" s="10">
        <v>23</v>
      </c>
      <c r="F17" s="10">
        <v>4</v>
      </c>
      <c r="G17" s="22"/>
    </row>
    <row r="18" spans="3:7" x14ac:dyDescent="0.25">
      <c r="C18" s="14" t="s">
        <v>194</v>
      </c>
      <c r="D18" s="10">
        <v>23</v>
      </c>
      <c r="E18" s="10">
        <v>21</v>
      </c>
      <c r="F18" s="10">
        <v>2</v>
      </c>
      <c r="G18" s="22"/>
    </row>
    <row r="19" spans="3:7" x14ac:dyDescent="0.25">
      <c r="C19" s="14" t="s">
        <v>195</v>
      </c>
      <c r="D19" s="10">
        <v>22</v>
      </c>
      <c r="E19" s="10">
        <v>15</v>
      </c>
      <c r="F19" s="10">
        <v>7</v>
      </c>
      <c r="G19" s="22"/>
    </row>
    <row r="20" spans="3:7" x14ac:dyDescent="0.25">
      <c r="C20" s="14" t="s">
        <v>196</v>
      </c>
      <c r="D20" s="10">
        <v>23</v>
      </c>
      <c r="E20" s="10">
        <v>22</v>
      </c>
      <c r="F20" s="10">
        <v>1</v>
      </c>
      <c r="G20" s="22"/>
    </row>
    <row r="21" spans="3:7" x14ac:dyDescent="0.25">
      <c r="C21" s="14" t="s">
        <v>197</v>
      </c>
      <c r="D21" s="10">
        <v>25</v>
      </c>
      <c r="E21" s="10">
        <v>21</v>
      </c>
      <c r="F21" s="10">
        <v>4</v>
      </c>
      <c r="G21" s="22"/>
    </row>
    <row r="22" spans="3:7" x14ac:dyDescent="0.25">
      <c r="C22" s="14" t="s">
        <v>198</v>
      </c>
      <c r="D22" s="10">
        <v>27</v>
      </c>
      <c r="E22" s="10">
        <v>27</v>
      </c>
      <c r="F22" s="10">
        <v>0</v>
      </c>
      <c r="G22" s="22"/>
    </row>
    <row r="23" spans="3:7" x14ac:dyDescent="0.25">
      <c r="C23" s="14" t="s">
        <v>199</v>
      </c>
      <c r="D23" s="10">
        <v>22</v>
      </c>
      <c r="E23" s="10">
        <v>15</v>
      </c>
      <c r="F23" s="10">
        <v>7</v>
      </c>
      <c r="G23" s="22"/>
    </row>
    <row r="24" spans="3:7" x14ac:dyDescent="0.25">
      <c r="C24" s="14" t="s">
        <v>200</v>
      </c>
      <c r="D24" s="10">
        <v>24</v>
      </c>
      <c r="E24" s="10">
        <v>24</v>
      </c>
      <c r="F24" s="10">
        <v>0</v>
      </c>
      <c r="G24" s="22"/>
    </row>
    <row r="25" spans="3:7" x14ac:dyDescent="0.25">
      <c r="C25" s="14" t="s">
        <v>201</v>
      </c>
      <c r="D25" s="10">
        <v>25</v>
      </c>
      <c r="E25" s="10">
        <v>22</v>
      </c>
      <c r="F25" s="10">
        <v>3</v>
      </c>
      <c r="G25" s="22"/>
    </row>
    <row r="26" spans="3:7" x14ac:dyDescent="0.25">
      <c r="C26" s="14" t="s">
        <v>202</v>
      </c>
      <c r="D26" s="10">
        <v>24</v>
      </c>
      <c r="E26" s="10">
        <v>18</v>
      </c>
      <c r="F26" s="10">
        <v>6</v>
      </c>
      <c r="G26" s="22"/>
    </row>
    <row r="27" spans="3:7" x14ac:dyDescent="0.25">
      <c r="C27" s="14" t="s">
        <v>203</v>
      </c>
      <c r="D27" s="10">
        <v>25</v>
      </c>
      <c r="E27" s="10">
        <v>18</v>
      </c>
      <c r="F27" s="10">
        <v>7</v>
      </c>
      <c r="G27" s="22"/>
    </row>
    <row r="28" spans="3:7" x14ac:dyDescent="0.25">
      <c r="C28" s="14" t="s">
        <v>204</v>
      </c>
      <c r="D28" s="10">
        <v>26</v>
      </c>
      <c r="E28" s="10">
        <v>24</v>
      </c>
      <c r="F28" s="10">
        <v>2</v>
      </c>
      <c r="G28" s="22"/>
    </row>
  </sheetData>
  <sheetProtection password="DCA3" sheet="1" objects="1" scenarios="1"/>
  <mergeCells count="1">
    <mergeCell ref="C2:H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L28"/>
  <sheetViews>
    <sheetView showGridLines="0" showRowColHeaders="0" zoomScale="85" zoomScaleNormal="85" workbookViewId="0"/>
  </sheetViews>
  <sheetFormatPr defaultRowHeight="15" x14ac:dyDescent="0.25"/>
  <cols>
    <col min="3" max="3" width="19.140625" bestFit="1" customWidth="1"/>
    <col min="4" max="4" width="18.140625" style="1" customWidth="1"/>
    <col min="5" max="6" width="11.42578125" bestFit="1" customWidth="1"/>
    <col min="7" max="7" width="14.5703125" customWidth="1"/>
    <col min="9" max="9" width="7.85546875" style="1" bestFit="1" customWidth="1"/>
    <col min="10" max="10" width="1.42578125" style="1" customWidth="1"/>
    <col min="11" max="11" width="19.140625" style="1" bestFit="1" customWidth="1"/>
    <col min="12" max="12" width="19.42578125" style="1" customWidth="1"/>
    <col min="13" max="13" width="19.5703125" bestFit="1" customWidth="1"/>
  </cols>
  <sheetData>
    <row r="1" spans="2:11" x14ac:dyDescent="0.25">
      <c r="K1" s="1" t="s">
        <v>253</v>
      </c>
    </row>
    <row r="2" spans="2:11" ht="29.25" customHeight="1" x14ac:dyDescent="0.25">
      <c r="B2" t="s">
        <v>210</v>
      </c>
      <c r="C2" s="98" t="s">
        <v>209</v>
      </c>
      <c r="D2" s="98"/>
      <c r="E2" s="98"/>
      <c r="F2" s="98"/>
      <c r="G2" s="98"/>
      <c r="H2" s="98"/>
      <c r="I2" s="5" t="s">
        <v>171</v>
      </c>
      <c r="K2" s="53"/>
    </row>
    <row r="3" spans="2:11" x14ac:dyDescent="0.25">
      <c r="C3" s="15" t="s">
        <v>170</v>
      </c>
    </row>
    <row r="7" spans="2:11" x14ac:dyDescent="0.25">
      <c r="C7" s="4" t="s">
        <v>7</v>
      </c>
    </row>
    <row r="8" spans="2:11" ht="30.75" thickBot="1" x14ac:dyDescent="0.3">
      <c r="C8" s="6" t="s">
        <v>181</v>
      </c>
      <c r="D8" s="21" t="s">
        <v>184</v>
      </c>
      <c r="E8" s="21" t="s">
        <v>182</v>
      </c>
      <c r="F8" s="21" t="s">
        <v>183</v>
      </c>
      <c r="G8" s="23" t="s">
        <v>208</v>
      </c>
    </row>
    <row r="9" spans="2:11" ht="15.75" thickTop="1" x14ac:dyDescent="0.25">
      <c r="C9" s="14" t="s">
        <v>201</v>
      </c>
      <c r="D9" s="10">
        <v>25</v>
      </c>
      <c r="E9" s="10">
        <v>22</v>
      </c>
      <c r="F9" s="10">
        <v>3</v>
      </c>
      <c r="G9" s="22"/>
    </row>
    <row r="10" spans="2:11" x14ac:dyDescent="0.25">
      <c r="C10" s="14" t="s">
        <v>202</v>
      </c>
      <c r="D10" s="10">
        <v>24</v>
      </c>
      <c r="E10" s="10">
        <v>18</v>
      </c>
      <c r="F10" s="10">
        <v>6</v>
      </c>
      <c r="G10" s="22"/>
    </row>
    <row r="11" spans="2:11" x14ac:dyDescent="0.25">
      <c r="C11" s="14" t="s">
        <v>196</v>
      </c>
      <c r="D11" s="10">
        <v>23</v>
      </c>
      <c r="E11" s="10">
        <v>22</v>
      </c>
      <c r="F11" s="10">
        <v>1</v>
      </c>
      <c r="G11" s="22"/>
    </row>
    <row r="12" spans="2:11" x14ac:dyDescent="0.25">
      <c r="C12" s="14" t="s">
        <v>199</v>
      </c>
      <c r="D12" s="10">
        <v>22</v>
      </c>
      <c r="E12" s="10">
        <v>15</v>
      </c>
      <c r="F12" s="10">
        <v>7</v>
      </c>
      <c r="G12" s="22"/>
    </row>
    <row r="13" spans="2:11" x14ac:dyDescent="0.25">
      <c r="C13" s="14" t="s">
        <v>192</v>
      </c>
      <c r="D13" s="10">
        <v>27</v>
      </c>
      <c r="E13" s="10">
        <v>23</v>
      </c>
      <c r="F13" s="10">
        <v>4</v>
      </c>
      <c r="G13" s="22"/>
    </row>
    <row r="14" spans="2:11" x14ac:dyDescent="0.25">
      <c r="C14" s="14" t="s">
        <v>186</v>
      </c>
      <c r="D14" s="10">
        <v>27</v>
      </c>
      <c r="E14" s="10">
        <v>20</v>
      </c>
      <c r="F14" s="10">
        <v>7</v>
      </c>
      <c r="G14" s="22"/>
    </row>
    <row r="15" spans="2:11" x14ac:dyDescent="0.25">
      <c r="C15" s="14" t="s">
        <v>198</v>
      </c>
      <c r="D15" s="10">
        <v>27</v>
      </c>
      <c r="E15" s="10">
        <v>27</v>
      </c>
      <c r="F15" s="10">
        <v>0</v>
      </c>
      <c r="G15" s="22"/>
    </row>
    <row r="16" spans="2:11" x14ac:dyDescent="0.25">
      <c r="C16" s="14" t="s">
        <v>191</v>
      </c>
      <c r="D16" s="10">
        <v>23</v>
      </c>
      <c r="E16" s="10">
        <v>20</v>
      </c>
      <c r="F16" s="10">
        <v>3</v>
      </c>
      <c r="G16" s="22"/>
    </row>
    <row r="17" spans="3:7" x14ac:dyDescent="0.25">
      <c r="C17" s="14" t="s">
        <v>188</v>
      </c>
      <c r="D17" s="10">
        <v>23</v>
      </c>
      <c r="E17" s="10">
        <v>16</v>
      </c>
      <c r="F17" s="10">
        <v>7</v>
      </c>
      <c r="G17" s="22"/>
    </row>
    <row r="18" spans="3:7" x14ac:dyDescent="0.25">
      <c r="C18" s="14" t="s">
        <v>189</v>
      </c>
      <c r="D18" s="10">
        <v>27</v>
      </c>
      <c r="E18" s="10">
        <v>22</v>
      </c>
      <c r="F18" s="10">
        <v>5</v>
      </c>
      <c r="G18" s="22"/>
    </row>
    <row r="19" spans="3:7" x14ac:dyDescent="0.25">
      <c r="C19" s="14" t="s">
        <v>185</v>
      </c>
      <c r="D19" s="10">
        <v>23</v>
      </c>
      <c r="E19" s="10">
        <v>17</v>
      </c>
      <c r="F19" s="10">
        <v>6</v>
      </c>
      <c r="G19" s="22"/>
    </row>
    <row r="20" spans="3:7" x14ac:dyDescent="0.25">
      <c r="C20" s="14" t="s">
        <v>197</v>
      </c>
      <c r="D20" s="10">
        <v>25</v>
      </c>
      <c r="E20" s="10">
        <v>21</v>
      </c>
      <c r="F20" s="10">
        <v>4</v>
      </c>
      <c r="G20" s="22"/>
    </row>
    <row r="21" spans="3:7" x14ac:dyDescent="0.25">
      <c r="C21" s="14" t="s">
        <v>194</v>
      </c>
      <c r="D21" s="10">
        <v>23</v>
      </c>
      <c r="E21" s="10">
        <v>21</v>
      </c>
      <c r="F21" s="10">
        <v>2</v>
      </c>
      <c r="G21" s="22"/>
    </row>
    <row r="22" spans="3:7" x14ac:dyDescent="0.25">
      <c r="C22" s="14" t="s">
        <v>193</v>
      </c>
      <c r="D22" s="10">
        <v>27</v>
      </c>
      <c r="E22" s="10">
        <v>23</v>
      </c>
      <c r="F22" s="10">
        <v>4</v>
      </c>
      <c r="G22" s="22"/>
    </row>
    <row r="23" spans="3:7" x14ac:dyDescent="0.25">
      <c r="C23" s="14" t="s">
        <v>195</v>
      </c>
      <c r="D23" s="10">
        <v>22</v>
      </c>
      <c r="E23" s="10">
        <v>15</v>
      </c>
      <c r="F23" s="10">
        <v>7</v>
      </c>
      <c r="G23" s="22"/>
    </row>
    <row r="24" spans="3:7" x14ac:dyDescent="0.25">
      <c r="C24" s="14" t="s">
        <v>187</v>
      </c>
      <c r="D24" s="10">
        <v>24</v>
      </c>
      <c r="E24" s="10">
        <v>21</v>
      </c>
      <c r="F24" s="10">
        <v>3</v>
      </c>
      <c r="G24" s="22"/>
    </row>
    <row r="25" spans="3:7" x14ac:dyDescent="0.25">
      <c r="C25" s="14" t="s">
        <v>190</v>
      </c>
      <c r="D25" s="10">
        <v>25</v>
      </c>
      <c r="E25" s="10">
        <v>25</v>
      </c>
      <c r="F25" s="10">
        <v>0</v>
      </c>
      <c r="G25" s="22"/>
    </row>
    <row r="26" spans="3:7" x14ac:dyDescent="0.25">
      <c r="C26" s="14" t="s">
        <v>203</v>
      </c>
      <c r="D26" s="10">
        <v>25</v>
      </c>
      <c r="E26" s="10">
        <v>18</v>
      </c>
      <c r="F26" s="10">
        <v>7</v>
      </c>
      <c r="G26" s="22"/>
    </row>
    <row r="27" spans="3:7" x14ac:dyDescent="0.25">
      <c r="C27" s="14" t="s">
        <v>200</v>
      </c>
      <c r="D27" s="10">
        <v>24</v>
      </c>
      <c r="E27" s="10">
        <v>24</v>
      </c>
      <c r="F27" s="10">
        <v>0</v>
      </c>
      <c r="G27" s="22"/>
    </row>
    <row r="28" spans="3:7" x14ac:dyDescent="0.25">
      <c r="C28" s="14" t="s">
        <v>204</v>
      </c>
      <c r="D28" s="10">
        <v>26</v>
      </c>
      <c r="E28" s="10">
        <v>24</v>
      </c>
      <c r="F28" s="10">
        <v>2</v>
      </c>
      <c r="G28" s="22"/>
    </row>
  </sheetData>
  <sheetProtection password="DCA3" sheet="1" objects="1" scenarios="1"/>
  <sortState xmlns:xlrd2="http://schemas.microsoft.com/office/spreadsheetml/2017/richdata2" ref="C9:F28">
    <sortCondition ref="C9:C28"/>
  </sortState>
  <mergeCells count="1">
    <mergeCell ref="C2:H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P78"/>
  <sheetViews>
    <sheetView showGridLines="0" showRowColHeaders="0" zoomScale="85" zoomScaleNormal="85" workbookViewId="0"/>
  </sheetViews>
  <sheetFormatPr defaultRowHeight="15" x14ac:dyDescent="0.25"/>
  <cols>
    <col min="3" max="3" width="10.5703125" customWidth="1"/>
    <col min="4" max="4" width="18.140625" style="1" customWidth="1"/>
    <col min="5" max="6" width="11.42578125" bestFit="1" customWidth="1"/>
    <col min="7" max="7" width="14.5703125" customWidth="1"/>
    <col min="8" max="8" width="13.85546875" bestFit="1" customWidth="1"/>
    <col min="9" max="9" width="13.85546875" style="1" bestFit="1" customWidth="1"/>
    <col min="10" max="12" width="9.140625" style="1" bestFit="1" customWidth="1"/>
    <col min="13" max="15" width="9.140625" bestFit="1" customWidth="1"/>
    <col min="16" max="16" width="10.85546875" bestFit="1" customWidth="1"/>
  </cols>
  <sheetData>
    <row r="1" spans="2:11" x14ac:dyDescent="0.25">
      <c r="K1" s="1" t="s">
        <v>253</v>
      </c>
    </row>
    <row r="2" spans="2:11" ht="29.25" customHeight="1" x14ac:dyDescent="0.25">
      <c r="B2" t="s">
        <v>216</v>
      </c>
      <c r="C2" s="98" t="s">
        <v>215</v>
      </c>
      <c r="D2" s="98"/>
      <c r="E2" s="98"/>
      <c r="F2" s="98"/>
      <c r="G2" s="98"/>
      <c r="H2" s="98"/>
      <c r="I2" s="5" t="s">
        <v>171</v>
      </c>
      <c r="K2" s="53"/>
    </row>
    <row r="3" spans="2:11" x14ac:dyDescent="0.25">
      <c r="C3" s="15" t="s">
        <v>214</v>
      </c>
    </row>
    <row r="7" spans="2:11" x14ac:dyDescent="0.25">
      <c r="C7" s="4" t="s">
        <v>7</v>
      </c>
      <c r="H7" s="4" t="s">
        <v>213</v>
      </c>
    </row>
    <row r="8" spans="2:11" ht="15.75" thickBot="1" x14ac:dyDescent="0.3">
      <c r="C8" s="6" t="s">
        <v>1</v>
      </c>
      <c r="D8" s="21" t="s">
        <v>0</v>
      </c>
      <c r="E8" s="21" t="s">
        <v>211</v>
      </c>
      <c r="F8" s="27" t="s">
        <v>212</v>
      </c>
    </row>
    <row r="9" spans="2:11" ht="15.75" thickTop="1" x14ac:dyDescent="0.25">
      <c r="C9" s="24">
        <v>41640</v>
      </c>
      <c r="D9" s="14" t="s">
        <v>201</v>
      </c>
      <c r="E9" s="10">
        <v>1</v>
      </c>
      <c r="F9" s="11">
        <v>0</v>
      </c>
    </row>
    <row r="10" spans="2:11" x14ac:dyDescent="0.25">
      <c r="C10" s="24">
        <v>41640</v>
      </c>
      <c r="D10" s="14" t="s">
        <v>196</v>
      </c>
      <c r="E10" s="10">
        <v>1</v>
      </c>
      <c r="F10" s="11">
        <v>0</v>
      </c>
    </row>
    <row r="11" spans="2:11" x14ac:dyDescent="0.25">
      <c r="C11" s="24">
        <v>41640</v>
      </c>
      <c r="D11" s="14" t="s">
        <v>192</v>
      </c>
      <c r="E11" s="10">
        <v>0</v>
      </c>
      <c r="F11" s="11">
        <v>1</v>
      </c>
    </row>
    <row r="12" spans="2:11" x14ac:dyDescent="0.25">
      <c r="C12" s="24">
        <v>41640</v>
      </c>
      <c r="D12" s="14" t="s">
        <v>198</v>
      </c>
      <c r="E12" s="10">
        <v>1</v>
      </c>
      <c r="F12" s="11">
        <v>0</v>
      </c>
    </row>
    <row r="13" spans="2:11" x14ac:dyDescent="0.25">
      <c r="C13" s="24">
        <v>41640</v>
      </c>
      <c r="D13" s="14" t="s">
        <v>188</v>
      </c>
      <c r="E13" s="10">
        <v>1</v>
      </c>
      <c r="F13" s="11">
        <v>0</v>
      </c>
    </row>
    <row r="14" spans="2:11" x14ac:dyDescent="0.25">
      <c r="C14" s="24">
        <v>41640</v>
      </c>
      <c r="D14" s="14" t="s">
        <v>185</v>
      </c>
      <c r="E14" s="10">
        <v>1</v>
      </c>
      <c r="F14" s="11">
        <v>0</v>
      </c>
    </row>
    <row r="15" spans="2:11" x14ac:dyDescent="0.25">
      <c r="C15" s="24">
        <v>41640</v>
      </c>
      <c r="D15" s="14" t="s">
        <v>194</v>
      </c>
      <c r="E15" s="10">
        <v>0</v>
      </c>
      <c r="F15" s="11">
        <v>1</v>
      </c>
    </row>
    <row r="16" spans="2:11" x14ac:dyDescent="0.25">
      <c r="C16" s="24">
        <v>41640</v>
      </c>
      <c r="D16" s="14" t="s">
        <v>195</v>
      </c>
      <c r="E16" s="10">
        <v>1</v>
      </c>
      <c r="F16" s="11">
        <v>0</v>
      </c>
    </row>
    <row r="17" spans="3:16" x14ac:dyDescent="0.25">
      <c r="C17" s="24">
        <v>41640</v>
      </c>
      <c r="D17" s="14" t="s">
        <v>190</v>
      </c>
      <c r="E17" s="10">
        <v>1</v>
      </c>
      <c r="F17" s="11">
        <v>0</v>
      </c>
    </row>
    <row r="18" spans="3:16" x14ac:dyDescent="0.25">
      <c r="C18" s="24">
        <v>41640</v>
      </c>
      <c r="D18" s="14" t="s">
        <v>200</v>
      </c>
      <c r="E18" s="10">
        <v>0</v>
      </c>
      <c r="F18" s="11">
        <v>1</v>
      </c>
    </row>
    <row r="19" spans="3:16" x14ac:dyDescent="0.25">
      <c r="C19" s="24">
        <v>41641</v>
      </c>
      <c r="D19" s="14" t="s">
        <v>201</v>
      </c>
      <c r="E19" s="10">
        <v>1</v>
      </c>
      <c r="F19" s="11">
        <v>0</v>
      </c>
    </row>
    <row r="20" spans="3:16" x14ac:dyDescent="0.25">
      <c r="C20" s="24">
        <v>41641</v>
      </c>
      <c r="D20" s="14" t="s">
        <v>196</v>
      </c>
      <c r="E20" s="10">
        <v>1</v>
      </c>
      <c r="F20" s="11">
        <v>0</v>
      </c>
    </row>
    <row r="21" spans="3:16" x14ac:dyDescent="0.25">
      <c r="C21" s="24">
        <v>41641</v>
      </c>
      <c r="D21" s="14" t="s">
        <v>192</v>
      </c>
      <c r="E21" s="10">
        <v>0</v>
      </c>
      <c r="F21" s="11">
        <v>1</v>
      </c>
      <c r="I21"/>
    </row>
    <row r="22" spans="3:16" x14ac:dyDescent="0.25">
      <c r="C22" s="24">
        <v>41641</v>
      </c>
      <c r="D22" s="14" t="s">
        <v>198</v>
      </c>
      <c r="E22" s="10">
        <v>1</v>
      </c>
      <c r="F22" s="11">
        <v>0</v>
      </c>
      <c r="H22" s="25"/>
      <c r="I22" s="25"/>
      <c r="J22" s="26"/>
      <c r="K22" s="26"/>
      <c r="L22" s="26"/>
      <c r="M22" s="25"/>
      <c r="N22" s="25"/>
      <c r="O22" s="25"/>
      <c r="P22" s="25"/>
    </row>
    <row r="23" spans="3:16" x14ac:dyDescent="0.25">
      <c r="C23" s="24">
        <v>41641</v>
      </c>
      <c r="D23" s="14" t="s">
        <v>188</v>
      </c>
      <c r="E23" s="10">
        <v>1</v>
      </c>
      <c r="F23" s="11">
        <v>0</v>
      </c>
      <c r="H23" s="81"/>
      <c r="I23" s="82"/>
      <c r="J23" s="83"/>
      <c r="K23" s="25"/>
      <c r="L23" s="25"/>
      <c r="M23" s="25"/>
      <c r="N23" s="25"/>
      <c r="O23" s="25"/>
      <c r="P23" s="25"/>
    </row>
    <row r="24" spans="3:16" x14ac:dyDescent="0.25">
      <c r="C24" s="24">
        <v>41641</v>
      </c>
      <c r="D24" s="14" t="s">
        <v>185</v>
      </c>
      <c r="E24" s="10">
        <v>1</v>
      </c>
      <c r="F24" s="11">
        <v>0</v>
      </c>
      <c r="H24" s="84"/>
      <c r="I24" s="85"/>
      <c r="J24" s="86"/>
      <c r="K24" s="25"/>
      <c r="L24" s="25"/>
      <c r="M24" s="25"/>
      <c r="N24" s="25"/>
      <c r="O24" s="25"/>
      <c r="P24" s="25"/>
    </row>
    <row r="25" spans="3:16" x14ac:dyDescent="0.25">
      <c r="C25" s="24">
        <v>41641</v>
      </c>
      <c r="D25" s="14" t="s">
        <v>194</v>
      </c>
      <c r="E25" s="10">
        <v>0</v>
      </c>
      <c r="F25" s="11">
        <v>1</v>
      </c>
      <c r="H25" s="84"/>
      <c r="I25" s="85"/>
      <c r="J25" s="86"/>
      <c r="K25" s="25"/>
      <c r="L25" s="25"/>
      <c r="M25" s="25"/>
      <c r="N25" s="25"/>
      <c r="O25" s="25"/>
      <c r="P25" s="25"/>
    </row>
    <row r="26" spans="3:16" x14ac:dyDescent="0.25">
      <c r="C26" s="24">
        <v>41641</v>
      </c>
      <c r="D26" s="14" t="s">
        <v>195</v>
      </c>
      <c r="E26" s="10">
        <v>1</v>
      </c>
      <c r="F26" s="11">
        <v>0</v>
      </c>
      <c r="H26" s="84"/>
      <c r="I26" s="85"/>
      <c r="J26" s="86"/>
      <c r="K26" s="25"/>
      <c r="L26" s="25"/>
      <c r="M26" s="25"/>
      <c r="N26" s="25"/>
      <c r="O26" s="25"/>
      <c r="P26" s="25"/>
    </row>
    <row r="27" spans="3:16" x14ac:dyDescent="0.25">
      <c r="C27" s="24">
        <v>41641</v>
      </c>
      <c r="D27" s="14" t="s">
        <v>190</v>
      </c>
      <c r="E27" s="10">
        <v>0</v>
      </c>
      <c r="F27" s="11">
        <v>1</v>
      </c>
      <c r="H27" s="84"/>
      <c r="I27" s="85"/>
      <c r="J27" s="86"/>
      <c r="K27" s="25"/>
      <c r="L27" s="25"/>
      <c r="M27" s="25"/>
      <c r="N27" s="25"/>
      <c r="O27" s="25"/>
      <c r="P27" s="25"/>
    </row>
    <row r="28" spans="3:16" x14ac:dyDescent="0.25">
      <c r="C28" s="24">
        <v>41641</v>
      </c>
      <c r="D28" s="14" t="s">
        <v>200</v>
      </c>
      <c r="E28" s="10">
        <v>1</v>
      </c>
      <c r="F28" s="11">
        <v>0</v>
      </c>
      <c r="H28" s="84"/>
      <c r="I28" s="85"/>
      <c r="J28" s="86"/>
      <c r="K28" s="25"/>
      <c r="L28" s="25"/>
      <c r="M28" s="25"/>
      <c r="N28" s="25"/>
      <c r="O28" s="25"/>
      <c r="P28" s="25"/>
    </row>
    <row r="29" spans="3:16" x14ac:dyDescent="0.25">
      <c r="C29" s="24">
        <v>41642</v>
      </c>
      <c r="D29" s="14" t="s">
        <v>201</v>
      </c>
      <c r="E29" s="10">
        <v>1</v>
      </c>
      <c r="F29" s="11">
        <v>0</v>
      </c>
      <c r="H29" s="84"/>
      <c r="I29" s="85"/>
      <c r="J29" s="86"/>
      <c r="K29" s="25"/>
      <c r="L29" s="25"/>
      <c r="M29" s="25"/>
      <c r="N29" s="25"/>
      <c r="O29" s="25"/>
      <c r="P29" s="25"/>
    </row>
    <row r="30" spans="3:16" x14ac:dyDescent="0.25">
      <c r="C30" s="24">
        <v>41642</v>
      </c>
      <c r="D30" s="14" t="s">
        <v>196</v>
      </c>
      <c r="E30" s="10">
        <v>0</v>
      </c>
      <c r="F30" s="11">
        <v>1</v>
      </c>
      <c r="H30" s="84"/>
      <c r="I30" s="85"/>
      <c r="J30" s="86"/>
      <c r="K30" s="25"/>
      <c r="L30" s="25"/>
      <c r="M30" s="25"/>
      <c r="N30" s="25"/>
      <c r="O30" s="25"/>
      <c r="P30" s="25"/>
    </row>
    <row r="31" spans="3:16" x14ac:dyDescent="0.25">
      <c r="C31" s="24">
        <v>41642</v>
      </c>
      <c r="D31" s="14" t="s">
        <v>192</v>
      </c>
      <c r="E31" s="10">
        <v>1</v>
      </c>
      <c r="F31" s="11">
        <v>0</v>
      </c>
      <c r="H31" s="84"/>
      <c r="I31" s="85"/>
      <c r="J31" s="86"/>
      <c r="K31" s="25"/>
      <c r="L31" s="25"/>
      <c r="M31" s="25"/>
      <c r="N31" s="25"/>
      <c r="O31" s="25"/>
      <c r="P31" s="25"/>
    </row>
    <row r="32" spans="3:16" x14ac:dyDescent="0.25">
      <c r="C32" s="24">
        <v>41642</v>
      </c>
      <c r="D32" s="14" t="s">
        <v>198</v>
      </c>
      <c r="E32" s="10">
        <v>0</v>
      </c>
      <c r="F32" s="11">
        <v>1</v>
      </c>
      <c r="H32" s="84"/>
      <c r="I32" s="85"/>
      <c r="J32" s="86"/>
      <c r="K32" s="25"/>
      <c r="L32" s="25"/>
      <c r="M32" s="25"/>
      <c r="N32" s="25"/>
      <c r="O32" s="25"/>
      <c r="P32" s="25"/>
    </row>
    <row r="33" spans="3:16" x14ac:dyDescent="0.25">
      <c r="C33" s="24">
        <v>41642</v>
      </c>
      <c r="D33" s="14" t="s">
        <v>188</v>
      </c>
      <c r="E33" s="10">
        <v>1</v>
      </c>
      <c r="F33" s="11">
        <v>0</v>
      </c>
      <c r="H33" s="84"/>
      <c r="I33" s="85"/>
      <c r="J33" s="86"/>
      <c r="K33" s="25"/>
      <c r="L33" s="25"/>
      <c r="M33" s="25"/>
      <c r="N33" s="25"/>
      <c r="O33" s="25"/>
      <c r="P33" s="25"/>
    </row>
    <row r="34" spans="3:16" x14ac:dyDescent="0.25">
      <c r="C34" s="24">
        <v>41642</v>
      </c>
      <c r="D34" s="14" t="s">
        <v>185</v>
      </c>
      <c r="E34" s="10">
        <v>1</v>
      </c>
      <c r="F34" s="11">
        <v>0</v>
      </c>
      <c r="H34" s="84"/>
      <c r="I34" s="85"/>
      <c r="J34" s="86"/>
      <c r="K34" s="25"/>
      <c r="L34" s="25"/>
      <c r="M34" s="25"/>
      <c r="N34" s="25"/>
      <c r="O34" s="25"/>
      <c r="P34" s="25"/>
    </row>
    <row r="35" spans="3:16" x14ac:dyDescent="0.25">
      <c r="C35" s="24">
        <v>41642</v>
      </c>
      <c r="D35" s="14" t="s">
        <v>194</v>
      </c>
      <c r="E35" s="10">
        <v>0</v>
      </c>
      <c r="F35" s="11">
        <v>1</v>
      </c>
      <c r="H35" s="84"/>
      <c r="I35" s="85"/>
      <c r="J35" s="86"/>
      <c r="K35" s="25"/>
      <c r="L35" s="25"/>
      <c r="M35" s="25"/>
      <c r="N35" s="25"/>
      <c r="O35" s="25"/>
      <c r="P35" s="25"/>
    </row>
    <row r="36" spans="3:16" x14ac:dyDescent="0.25">
      <c r="C36" s="24">
        <v>41642</v>
      </c>
      <c r="D36" s="14" t="s">
        <v>195</v>
      </c>
      <c r="E36" s="10">
        <v>1</v>
      </c>
      <c r="F36" s="11">
        <v>0</v>
      </c>
      <c r="H36" s="84"/>
      <c r="I36" s="85"/>
      <c r="J36" s="86"/>
      <c r="K36" s="25"/>
      <c r="L36" s="25"/>
      <c r="M36" s="25"/>
      <c r="N36" s="25"/>
      <c r="O36" s="25"/>
      <c r="P36" s="25"/>
    </row>
    <row r="37" spans="3:16" x14ac:dyDescent="0.25">
      <c r="C37" s="24">
        <v>41642</v>
      </c>
      <c r="D37" s="14" t="s">
        <v>190</v>
      </c>
      <c r="E37" s="10">
        <v>1</v>
      </c>
      <c r="F37" s="11">
        <v>0</v>
      </c>
      <c r="H37" s="84"/>
      <c r="I37" s="85"/>
      <c r="J37" s="86"/>
      <c r="K37" s="31"/>
      <c r="L37" s="31"/>
      <c r="M37" s="31"/>
      <c r="N37" s="31"/>
      <c r="O37" s="31"/>
      <c r="P37" s="31"/>
    </row>
    <row r="38" spans="3:16" x14ac:dyDescent="0.25">
      <c r="C38" s="24">
        <v>41642</v>
      </c>
      <c r="D38" s="14" t="s">
        <v>200</v>
      </c>
      <c r="E38" s="10">
        <v>0</v>
      </c>
      <c r="F38" s="11">
        <v>1</v>
      </c>
      <c r="H38" s="84"/>
      <c r="I38" s="85"/>
      <c r="J38" s="86"/>
      <c r="K38" s="31"/>
      <c r="L38" s="31"/>
      <c r="M38" s="31"/>
      <c r="N38" s="31"/>
      <c r="O38" s="31"/>
      <c r="P38" s="31"/>
    </row>
    <row r="39" spans="3:16" x14ac:dyDescent="0.25">
      <c r="C39" s="24">
        <v>41643</v>
      </c>
      <c r="D39" s="14" t="s">
        <v>201</v>
      </c>
      <c r="E39" s="10">
        <v>1</v>
      </c>
      <c r="F39" s="11">
        <v>0</v>
      </c>
      <c r="H39" s="84"/>
      <c r="I39" s="85"/>
      <c r="J39" s="86"/>
      <c r="K39" s="31"/>
      <c r="L39" s="31"/>
      <c r="M39" s="31"/>
      <c r="N39" s="31"/>
      <c r="O39" s="31"/>
      <c r="P39" s="31"/>
    </row>
    <row r="40" spans="3:16" x14ac:dyDescent="0.25">
      <c r="C40" s="24">
        <v>41643</v>
      </c>
      <c r="D40" s="14" t="s">
        <v>196</v>
      </c>
      <c r="E40" s="10">
        <v>1</v>
      </c>
      <c r="F40" s="11">
        <v>0</v>
      </c>
      <c r="H40" s="87"/>
      <c r="I40" s="88"/>
      <c r="J40" s="89"/>
      <c r="K40" s="31"/>
      <c r="L40" s="31"/>
      <c r="M40" s="31"/>
      <c r="N40" s="31"/>
      <c r="O40" s="31"/>
      <c r="P40" s="31"/>
    </row>
    <row r="41" spans="3:16" x14ac:dyDescent="0.25">
      <c r="C41" s="24">
        <v>41643</v>
      </c>
      <c r="D41" s="14" t="s">
        <v>192</v>
      </c>
      <c r="E41" s="10">
        <v>0</v>
      </c>
      <c r="F41" s="11">
        <v>1</v>
      </c>
      <c r="H41" s="25"/>
      <c r="I41" s="25"/>
      <c r="J41" s="25"/>
      <c r="K41" s="31"/>
      <c r="L41" s="31"/>
      <c r="M41" s="31"/>
      <c r="N41" s="31"/>
      <c r="O41" s="31"/>
      <c r="P41" s="31"/>
    </row>
    <row r="42" spans="3:16" x14ac:dyDescent="0.25">
      <c r="C42" s="24">
        <v>41643</v>
      </c>
      <c r="D42" s="14" t="s">
        <v>198</v>
      </c>
      <c r="E42" s="10">
        <v>0</v>
      </c>
      <c r="F42" s="11">
        <v>1</v>
      </c>
      <c r="I42"/>
      <c r="J42"/>
    </row>
    <row r="43" spans="3:16" x14ac:dyDescent="0.25">
      <c r="C43" s="24">
        <v>41643</v>
      </c>
      <c r="D43" s="14" t="s">
        <v>188</v>
      </c>
      <c r="E43" s="10">
        <v>1</v>
      </c>
      <c r="F43" s="11">
        <v>0</v>
      </c>
    </row>
    <row r="44" spans="3:16" x14ac:dyDescent="0.25">
      <c r="C44" s="24">
        <v>41643</v>
      </c>
      <c r="D44" s="14" t="s">
        <v>185</v>
      </c>
      <c r="E44" s="10">
        <v>1</v>
      </c>
      <c r="F44" s="11">
        <v>0</v>
      </c>
    </row>
    <row r="45" spans="3:16" x14ac:dyDescent="0.25">
      <c r="C45" s="24">
        <v>41643</v>
      </c>
      <c r="D45" s="14" t="s">
        <v>194</v>
      </c>
      <c r="E45" s="10">
        <v>1</v>
      </c>
      <c r="F45" s="11">
        <v>0</v>
      </c>
    </row>
    <row r="46" spans="3:16" x14ac:dyDescent="0.25">
      <c r="C46" s="24">
        <v>41643</v>
      </c>
      <c r="D46" s="14" t="s">
        <v>195</v>
      </c>
      <c r="E46" s="10">
        <v>0</v>
      </c>
      <c r="F46" s="11">
        <v>1</v>
      </c>
    </row>
    <row r="47" spans="3:16" x14ac:dyDescent="0.25">
      <c r="C47" s="24">
        <v>41643</v>
      </c>
      <c r="D47" s="14" t="s">
        <v>190</v>
      </c>
      <c r="E47" s="10">
        <v>0</v>
      </c>
      <c r="F47" s="11">
        <v>1</v>
      </c>
    </row>
    <row r="48" spans="3:16" x14ac:dyDescent="0.25">
      <c r="C48" s="24">
        <v>41643</v>
      </c>
      <c r="D48" s="14" t="s">
        <v>200</v>
      </c>
      <c r="E48" s="10">
        <v>1</v>
      </c>
      <c r="F48" s="11">
        <v>0</v>
      </c>
    </row>
    <row r="49" spans="3:6" x14ac:dyDescent="0.25">
      <c r="C49" s="24">
        <v>41644</v>
      </c>
      <c r="D49" s="14" t="s">
        <v>201</v>
      </c>
      <c r="E49" s="10">
        <v>1</v>
      </c>
      <c r="F49" s="11">
        <v>0</v>
      </c>
    </row>
    <row r="50" spans="3:6" x14ac:dyDescent="0.25">
      <c r="C50" s="24">
        <v>41644</v>
      </c>
      <c r="D50" s="14" t="s">
        <v>196</v>
      </c>
      <c r="E50" s="10">
        <v>1</v>
      </c>
      <c r="F50" s="11">
        <v>0</v>
      </c>
    </row>
    <row r="51" spans="3:6" x14ac:dyDescent="0.25">
      <c r="C51" s="24">
        <v>41644</v>
      </c>
      <c r="D51" s="14" t="s">
        <v>192</v>
      </c>
      <c r="E51" s="10">
        <v>0</v>
      </c>
      <c r="F51" s="11">
        <v>1</v>
      </c>
    </row>
    <row r="52" spans="3:6" x14ac:dyDescent="0.25">
      <c r="C52" s="24">
        <v>41644</v>
      </c>
      <c r="D52" s="14" t="s">
        <v>198</v>
      </c>
      <c r="E52" s="10">
        <v>1</v>
      </c>
      <c r="F52" s="11">
        <v>0</v>
      </c>
    </row>
    <row r="53" spans="3:6" x14ac:dyDescent="0.25">
      <c r="C53" s="24">
        <v>41644</v>
      </c>
      <c r="D53" s="14" t="s">
        <v>188</v>
      </c>
      <c r="E53" s="10">
        <v>1</v>
      </c>
      <c r="F53" s="11">
        <v>0</v>
      </c>
    </row>
    <row r="54" spans="3:6" x14ac:dyDescent="0.25">
      <c r="C54" s="24">
        <v>41644</v>
      </c>
      <c r="D54" s="14" t="s">
        <v>185</v>
      </c>
      <c r="E54" s="10">
        <v>0</v>
      </c>
      <c r="F54" s="11">
        <v>1</v>
      </c>
    </row>
    <row r="55" spans="3:6" x14ac:dyDescent="0.25">
      <c r="C55" s="24">
        <v>41644</v>
      </c>
      <c r="D55" s="14" t="s">
        <v>194</v>
      </c>
      <c r="E55" s="10">
        <v>1</v>
      </c>
      <c r="F55" s="11">
        <v>0</v>
      </c>
    </row>
    <row r="56" spans="3:6" x14ac:dyDescent="0.25">
      <c r="C56" s="24">
        <v>41644</v>
      </c>
      <c r="D56" s="14" t="s">
        <v>195</v>
      </c>
      <c r="E56" s="10">
        <v>1</v>
      </c>
      <c r="F56" s="11">
        <v>0</v>
      </c>
    </row>
    <row r="57" spans="3:6" x14ac:dyDescent="0.25">
      <c r="C57" s="24">
        <v>41644</v>
      </c>
      <c r="D57" s="14" t="s">
        <v>190</v>
      </c>
      <c r="E57" s="10">
        <v>1</v>
      </c>
      <c r="F57" s="11">
        <v>0</v>
      </c>
    </row>
    <row r="58" spans="3:6" x14ac:dyDescent="0.25">
      <c r="C58" s="24">
        <v>41644</v>
      </c>
      <c r="D58" s="14" t="s">
        <v>200</v>
      </c>
      <c r="E58" s="10">
        <v>1</v>
      </c>
      <c r="F58" s="11">
        <v>0</v>
      </c>
    </row>
    <row r="59" spans="3:6" x14ac:dyDescent="0.25">
      <c r="C59" s="24">
        <v>41645</v>
      </c>
      <c r="D59" s="14" t="s">
        <v>201</v>
      </c>
      <c r="E59" s="10">
        <v>1</v>
      </c>
      <c r="F59" s="11">
        <v>0</v>
      </c>
    </row>
    <row r="60" spans="3:6" x14ac:dyDescent="0.25">
      <c r="C60" s="24">
        <v>41645</v>
      </c>
      <c r="D60" s="14" t="s">
        <v>196</v>
      </c>
      <c r="E60" s="10">
        <v>0</v>
      </c>
      <c r="F60" s="11">
        <v>1</v>
      </c>
    </row>
    <row r="61" spans="3:6" x14ac:dyDescent="0.25">
      <c r="C61" s="24">
        <v>41645</v>
      </c>
      <c r="D61" s="14" t="s">
        <v>192</v>
      </c>
      <c r="E61" s="10">
        <v>1</v>
      </c>
      <c r="F61" s="11">
        <v>0</v>
      </c>
    </row>
    <row r="62" spans="3:6" x14ac:dyDescent="0.25">
      <c r="C62" s="24">
        <v>41645</v>
      </c>
      <c r="D62" s="14" t="s">
        <v>198</v>
      </c>
      <c r="E62" s="10">
        <v>0</v>
      </c>
      <c r="F62" s="11">
        <v>1</v>
      </c>
    </row>
    <row r="63" spans="3:6" x14ac:dyDescent="0.25">
      <c r="C63" s="24">
        <v>41645</v>
      </c>
      <c r="D63" s="14" t="s">
        <v>188</v>
      </c>
      <c r="E63" s="10">
        <v>1</v>
      </c>
      <c r="F63" s="11">
        <v>0</v>
      </c>
    </row>
    <row r="64" spans="3:6" x14ac:dyDescent="0.25">
      <c r="C64" s="24">
        <v>41645</v>
      </c>
      <c r="D64" s="14" t="s">
        <v>185</v>
      </c>
      <c r="E64" s="10">
        <v>1</v>
      </c>
      <c r="F64" s="11">
        <v>0</v>
      </c>
    </row>
    <row r="65" spans="3:6" x14ac:dyDescent="0.25">
      <c r="C65" s="24">
        <v>41645</v>
      </c>
      <c r="D65" s="14" t="s">
        <v>194</v>
      </c>
      <c r="E65" s="10">
        <v>1</v>
      </c>
      <c r="F65" s="11">
        <v>0</v>
      </c>
    </row>
    <row r="66" spans="3:6" x14ac:dyDescent="0.25">
      <c r="C66" s="24">
        <v>41645</v>
      </c>
      <c r="D66" s="14" t="s">
        <v>195</v>
      </c>
      <c r="E66" s="10">
        <v>1</v>
      </c>
      <c r="F66" s="11">
        <v>0</v>
      </c>
    </row>
    <row r="67" spans="3:6" x14ac:dyDescent="0.25">
      <c r="C67" s="24">
        <v>41645</v>
      </c>
      <c r="D67" s="14" t="s">
        <v>190</v>
      </c>
      <c r="E67" s="10">
        <v>0</v>
      </c>
      <c r="F67" s="11">
        <v>1</v>
      </c>
    </row>
    <row r="68" spans="3:6" x14ac:dyDescent="0.25">
      <c r="C68" s="24">
        <v>41645</v>
      </c>
      <c r="D68" s="14" t="s">
        <v>200</v>
      </c>
      <c r="E68" s="10">
        <v>0</v>
      </c>
      <c r="F68" s="11">
        <v>1</v>
      </c>
    </row>
    <row r="69" spans="3:6" x14ac:dyDescent="0.25">
      <c r="C69" s="24">
        <v>41646</v>
      </c>
      <c r="D69" s="14" t="s">
        <v>201</v>
      </c>
      <c r="E69" s="10">
        <v>1</v>
      </c>
      <c r="F69" s="11">
        <v>0</v>
      </c>
    </row>
    <row r="70" spans="3:6" x14ac:dyDescent="0.25">
      <c r="C70" s="24">
        <v>41646</v>
      </c>
      <c r="D70" s="14" t="s">
        <v>196</v>
      </c>
      <c r="E70" s="10">
        <v>1</v>
      </c>
      <c r="F70" s="11">
        <v>0</v>
      </c>
    </row>
    <row r="71" spans="3:6" x14ac:dyDescent="0.25">
      <c r="C71" s="24">
        <v>41646</v>
      </c>
      <c r="D71" s="14" t="s">
        <v>192</v>
      </c>
      <c r="E71" s="10">
        <v>0</v>
      </c>
      <c r="F71" s="11">
        <v>1</v>
      </c>
    </row>
    <row r="72" spans="3:6" x14ac:dyDescent="0.25">
      <c r="C72" s="24">
        <v>41646</v>
      </c>
      <c r="D72" s="14" t="s">
        <v>198</v>
      </c>
      <c r="E72" s="10">
        <v>1</v>
      </c>
      <c r="F72" s="11">
        <v>0</v>
      </c>
    </row>
    <row r="73" spans="3:6" x14ac:dyDescent="0.25">
      <c r="C73" s="24">
        <v>41646</v>
      </c>
      <c r="D73" s="14" t="s">
        <v>188</v>
      </c>
      <c r="E73" s="10">
        <v>1</v>
      </c>
      <c r="F73" s="11">
        <v>0</v>
      </c>
    </row>
    <row r="74" spans="3:6" x14ac:dyDescent="0.25">
      <c r="C74" s="24">
        <v>41646</v>
      </c>
      <c r="D74" s="14" t="s">
        <v>185</v>
      </c>
      <c r="E74" s="10">
        <v>1</v>
      </c>
      <c r="F74" s="11">
        <v>0</v>
      </c>
    </row>
    <row r="75" spans="3:6" x14ac:dyDescent="0.25">
      <c r="C75" s="24">
        <v>41646</v>
      </c>
      <c r="D75" s="14" t="s">
        <v>194</v>
      </c>
      <c r="E75" s="10">
        <v>1</v>
      </c>
      <c r="F75" s="11">
        <v>0</v>
      </c>
    </row>
    <row r="76" spans="3:6" x14ac:dyDescent="0.25">
      <c r="C76" s="24">
        <v>41646</v>
      </c>
      <c r="D76" s="14" t="s">
        <v>195</v>
      </c>
      <c r="E76" s="10">
        <v>1</v>
      </c>
      <c r="F76" s="11">
        <v>0</v>
      </c>
    </row>
    <row r="77" spans="3:6" x14ac:dyDescent="0.25">
      <c r="C77" s="24">
        <v>41646</v>
      </c>
      <c r="D77" s="14" t="s">
        <v>190</v>
      </c>
      <c r="E77" s="10">
        <v>1</v>
      </c>
      <c r="F77" s="11">
        <v>0</v>
      </c>
    </row>
    <row r="78" spans="3:6" x14ac:dyDescent="0.25">
      <c r="C78" s="28">
        <v>41646</v>
      </c>
      <c r="D78" s="29" t="s">
        <v>200</v>
      </c>
      <c r="E78" s="12">
        <v>1</v>
      </c>
      <c r="F78" s="30">
        <v>0</v>
      </c>
    </row>
  </sheetData>
  <sheetProtection pivotTables="0"/>
  <mergeCells count="1">
    <mergeCell ref="C2:H2"/>
  </mergeCells>
  <pageMargins left="0.7" right="0.7" top="0.75" bottom="0.75" header="0.3" footer="0.3"/>
  <pageSetup orientation="portrait" r:id="rId2"/>
  <drawing r:id="rId3"/>
  <tableParts count="1"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Q32"/>
  <sheetViews>
    <sheetView showGridLines="0" showRowColHeaders="0" topLeftCell="A3" zoomScale="85" zoomScaleNormal="85" workbookViewId="0">
      <selection activeCell="G17" sqref="G17"/>
    </sheetView>
  </sheetViews>
  <sheetFormatPr defaultRowHeight="15" x14ac:dyDescent="0.25"/>
  <cols>
    <col min="3" max="3" width="10.5703125" customWidth="1"/>
    <col min="4" max="4" width="18.140625" style="1" customWidth="1"/>
    <col min="5" max="6" width="11.42578125" bestFit="1" customWidth="1"/>
    <col min="7" max="7" width="14.5703125" customWidth="1"/>
    <col min="8" max="8" width="15.28515625" bestFit="1" customWidth="1"/>
    <col min="9" max="9" width="16.28515625" style="1" bestFit="1" customWidth="1"/>
    <col min="10" max="12" width="8.28515625" style="1" bestFit="1" customWidth="1"/>
    <col min="13" max="15" width="8.28515625" bestFit="1" customWidth="1"/>
    <col min="16" max="16" width="11.28515625" bestFit="1" customWidth="1"/>
  </cols>
  <sheetData>
    <row r="1" spans="2:17" x14ac:dyDescent="0.25">
      <c r="K1" s="1" t="s">
        <v>253</v>
      </c>
    </row>
    <row r="2" spans="2:17" s="1" customFormat="1" ht="29.25" customHeight="1" x14ac:dyDescent="0.25">
      <c r="B2" t="s">
        <v>226</v>
      </c>
      <c r="C2" s="98" t="s">
        <v>227</v>
      </c>
      <c r="D2" s="98"/>
      <c r="E2" s="98"/>
      <c r="F2" s="98"/>
      <c r="G2" s="98"/>
      <c r="H2" s="98"/>
      <c r="I2" s="5" t="s">
        <v>171</v>
      </c>
      <c r="K2" s="53"/>
      <c r="M2"/>
      <c r="N2"/>
      <c r="O2"/>
      <c r="P2"/>
      <c r="Q2"/>
    </row>
    <row r="3" spans="2:17" s="1" customFormat="1" x14ac:dyDescent="0.25">
      <c r="B3"/>
      <c r="C3" s="15" t="s">
        <v>228</v>
      </c>
      <c r="E3"/>
      <c r="F3"/>
      <c r="G3"/>
      <c r="H3"/>
      <c r="M3"/>
      <c r="N3"/>
      <c r="O3"/>
      <c r="P3"/>
      <c r="Q3"/>
    </row>
    <row r="6" spans="2:17" x14ac:dyDescent="0.25">
      <c r="D6" t="s">
        <v>218</v>
      </c>
      <c r="E6" t="s">
        <v>220</v>
      </c>
    </row>
    <row r="7" spans="2:17" x14ac:dyDescent="0.25">
      <c r="D7" t="s">
        <v>219</v>
      </c>
      <c r="E7" s="37" t="s">
        <v>222</v>
      </c>
    </row>
    <row r="8" spans="2:17" x14ac:dyDescent="0.25">
      <c r="D8" t="s">
        <v>221</v>
      </c>
      <c r="E8" s="38" t="s">
        <v>222</v>
      </c>
    </row>
    <row r="9" spans="2:17" x14ac:dyDescent="0.25">
      <c r="D9" t="s">
        <v>225</v>
      </c>
      <c r="E9" s="39" t="s">
        <v>222</v>
      </c>
    </row>
    <row r="11" spans="2:17" s="1" customFormat="1" x14ac:dyDescent="0.25">
      <c r="B11"/>
      <c r="C11" s="4" t="s">
        <v>7</v>
      </c>
      <c r="E11"/>
      <c r="F11"/>
      <c r="G11"/>
      <c r="H11" s="4" t="s">
        <v>213</v>
      </c>
      <c r="M11"/>
      <c r="N11"/>
      <c r="O11"/>
      <c r="P11"/>
      <c r="Q11"/>
    </row>
    <row r="12" spans="2:17" s="1" customFormat="1" ht="15.75" thickBot="1" x14ac:dyDescent="0.3">
      <c r="B12"/>
      <c r="C12" s="32" t="s">
        <v>223</v>
      </c>
      <c r="D12" s="33" t="s">
        <v>0</v>
      </c>
      <c r="E12" s="33" t="s">
        <v>217</v>
      </c>
      <c r="F12"/>
      <c r="G12"/>
      <c r="H12"/>
      <c r="M12"/>
      <c r="N12"/>
      <c r="O12"/>
      <c r="P12"/>
      <c r="Q12"/>
    </row>
    <row r="13" spans="2:17" s="1" customFormat="1" ht="15.75" thickTop="1" x14ac:dyDescent="0.25">
      <c r="B13"/>
      <c r="C13" s="34" t="s">
        <v>224</v>
      </c>
      <c r="D13" s="35" t="s">
        <v>185</v>
      </c>
      <c r="E13" s="36">
        <v>435</v>
      </c>
      <c r="F13"/>
      <c r="G13"/>
      <c r="H13"/>
      <c r="M13"/>
      <c r="N13"/>
      <c r="O13"/>
      <c r="P13"/>
      <c r="Q13"/>
    </row>
    <row r="14" spans="2:17" s="1" customFormat="1" x14ac:dyDescent="0.25">
      <c r="B14"/>
      <c r="C14" s="34" t="s">
        <v>224</v>
      </c>
      <c r="D14" s="35" t="s">
        <v>186</v>
      </c>
      <c r="E14" s="36">
        <v>114</v>
      </c>
      <c r="F14"/>
      <c r="G14"/>
      <c r="H14"/>
      <c r="M14"/>
      <c r="N14"/>
      <c r="O14"/>
      <c r="P14"/>
      <c r="Q14"/>
    </row>
    <row r="15" spans="2:17" s="1" customFormat="1" x14ac:dyDescent="0.25">
      <c r="B15"/>
      <c r="C15" s="34" t="s">
        <v>224</v>
      </c>
      <c r="D15" s="35" t="s">
        <v>187</v>
      </c>
      <c r="E15" s="36">
        <v>234</v>
      </c>
      <c r="F15"/>
      <c r="G15"/>
      <c r="H15"/>
      <c r="M15"/>
      <c r="N15"/>
      <c r="O15"/>
      <c r="P15"/>
      <c r="Q15"/>
    </row>
    <row r="16" spans="2:17" s="1" customFormat="1" x14ac:dyDescent="0.25">
      <c r="B16"/>
      <c r="C16" s="34" t="s">
        <v>224</v>
      </c>
      <c r="D16" s="35" t="s">
        <v>188</v>
      </c>
      <c r="E16" s="36">
        <v>164</v>
      </c>
      <c r="F16"/>
      <c r="G16"/>
      <c r="H16"/>
      <c r="M16"/>
      <c r="N16"/>
      <c r="O16"/>
      <c r="P16"/>
      <c r="Q16"/>
    </row>
    <row r="17" spans="2:17" s="1" customFormat="1" x14ac:dyDescent="0.25">
      <c r="B17"/>
      <c r="C17" s="34" t="s">
        <v>224</v>
      </c>
      <c r="D17" s="35" t="s">
        <v>189</v>
      </c>
      <c r="E17" s="36">
        <v>354</v>
      </c>
      <c r="F17"/>
      <c r="G17"/>
      <c r="H17"/>
      <c r="M17"/>
      <c r="N17"/>
      <c r="O17"/>
      <c r="P17"/>
      <c r="Q17"/>
    </row>
    <row r="18" spans="2:17" s="1" customFormat="1" x14ac:dyDescent="0.25">
      <c r="B18"/>
      <c r="C18" s="34" t="s">
        <v>224</v>
      </c>
      <c r="D18" s="35" t="s">
        <v>190</v>
      </c>
      <c r="E18" s="36">
        <v>156</v>
      </c>
      <c r="F18"/>
      <c r="G18"/>
      <c r="H18"/>
      <c r="M18"/>
      <c r="N18"/>
      <c r="O18"/>
      <c r="P18"/>
      <c r="Q18"/>
    </row>
    <row r="19" spans="2:17" s="1" customFormat="1" x14ac:dyDescent="0.25">
      <c r="B19"/>
      <c r="C19" s="34" t="s">
        <v>224</v>
      </c>
      <c r="D19" s="35" t="s">
        <v>191</v>
      </c>
      <c r="E19" s="36">
        <v>114</v>
      </c>
      <c r="F19"/>
      <c r="G19"/>
      <c r="H19"/>
      <c r="M19"/>
      <c r="N19"/>
      <c r="O19"/>
      <c r="P19"/>
      <c r="Q19"/>
    </row>
    <row r="20" spans="2:17" s="1" customFormat="1" x14ac:dyDescent="0.25">
      <c r="B20"/>
      <c r="C20" s="34" t="s">
        <v>224</v>
      </c>
      <c r="D20" s="35" t="s">
        <v>192</v>
      </c>
      <c r="E20" s="36">
        <v>67</v>
      </c>
      <c r="F20"/>
      <c r="G20"/>
      <c r="H20"/>
      <c r="M20"/>
      <c r="N20"/>
      <c r="O20"/>
      <c r="P20"/>
      <c r="Q20"/>
    </row>
    <row r="21" spans="2:17" x14ac:dyDescent="0.25">
      <c r="C21" s="34" t="s">
        <v>224</v>
      </c>
      <c r="D21" s="35" t="s">
        <v>193</v>
      </c>
      <c r="E21" s="36">
        <v>435</v>
      </c>
    </row>
    <row r="22" spans="2:17" x14ac:dyDescent="0.25">
      <c r="C22" s="34" t="s">
        <v>224</v>
      </c>
      <c r="D22" s="35" t="s">
        <v>194</v>
      </c>
      <c r="E22" s="36">
        <v>124</v>
      </c>
    </row>
    <row r="23" spans="2:17" x14ac:dyDescent="0.25">
      <c r="C23" s="34" t="s">
        <v>224</v>
      </c>
      <c r="D23" s="35" t="s">
        <v>195</v>
      </c>
      <c r="E23" s="36">
        <v>268</v>
      </c>
    </row>
    <row r="24" spans="2:17" x14ac:dyDescent="0.25">
      <c r="C24" s="34" t="s">
        <v>224</v>
      </c>
      <c r="D24" s="35" t="s">
        <v>196</v>
      </c>
      <c r="E24" s="36">
        <v>81</v>
      </c>
    </row>
    <row r="25" spans="2:17" x14ac:dyDescent="0.25">
      <c r="C25" s="34" t="s">
        <v>224</v>
      </c>
      <c r="D25" s="35" t="s">
        <v>197</v>
      </c>
      <c r="E25" s="36">
        <v>300</v>
      </c>
    </row>
    <row r="26" spans="2:17" x14ac:dyDescent="0.25">
      <c r="C26" s="34" t="s">
        <v>224</v>
      </c>
      <c r="D26" s="35" t="s">
        <v>198</v>
      </c>
      <c r="E26" s="36">
        <v>373</v>
      </c>
    </row>
    <row r="27" spans="2:17" x14ac:dyDescent="0.25">
      <c r="C27" s="34" t="s">
        <v>224</v>
      </c>
      <c r="D27" s="35" t="s">
        <v>199</v>
      </c>
      <c r="E27" s="36">
        <v>265</v>
      </c>
    </row>
    <row r="28" spans="2:17" x14ac:dyDescent="0.25">
      <c r="C28" s="34" t="s">
        <v>224</v>
      </c>
      <c r="D28" s="35" t="s">
        <v>200</v>
      </c>
      <c r="E28" s="36">
        <v>129</v>
      </c>
    </row>
    <row r="29" spans="2:17" x14ac:dyDescent="0.25">
      <c r="C29" s="34" t="s">
        <v>224</v>
      </c>
      <c r="D29" s="35" t="s">
        <v>201</v>
      </c>
      <c r="E29" s="36">
        <v>432</v>
      </c>
    </row>
    <row r="30" spans="2:17" x14ac:dyDescent="0.25">
      <c r="C30" s="34" t="s">
        <v>224</v>
      </c>
      <c r="D30" s="35" t="s">
        <v>202</v>
      </c>
      <c r="E30" s="36">
        <v>419</v>
      </c>
    </row>
    <row r="31" spans="2:17" x14ac:dyDescent="0.25">
      <c r="C31" s="34" t="s">
        <v>224</v>
      </c>
      <c r="D31" s="35" t="s">
        <v>203</v>
      </c>
      <c r="E31" s="36">
        <v>352</v>
      </c>
    </row>
    <row r="32" spans="2:17" x14ac:dyDescent="0.25">
      <c r="C32" s="34" t="s">
        <v>224</v>
      </c>
      <c r="D32" s="35" t="s">
        <v>204</v>
      </c>
      <c r="E32" s="36">
        <v>270</v>
      </c>
    </row>
  </sheetData>
  <sheetProtection password="DCA3" sheet="1" objects="1" scenarios="1" formatCells="0" pivotTables="0"/>
  <mergeCells count="1">
    <mergeCell ref="C2:H2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Q39"/>
  <sheetViews>
    <sheetView showGridLines="0" showRowColHeaders="0" zoomScale="85" zoomScaleNormal="85" workbookViewId="0">
      <selection activeCell="F23" sqref="F23"/>
    </sheetView>
  </sheetViews>
  <sheetFormatPr defaultRowHeight="15" x14ac:dyDescent="0.25"/>
  <cols>
    <col min="3" max="3" width="18.140625" customWidth="1"/>
    <col min="4" max="4" width="11.42578125" style="1" bestFit="1" customWidth="1"/>
    <col min="5" max="6" width="11.42578125" bestFit="1" customWidth="1"/>
    <col min="7" max="7" width="14.5703125" customWidth="1"/>
    <col min="8" max="8" width="15.28515625" bestFit="1" customWidth="1"/>
    <col min="9" max="9" width="16.28515625" style="1" bestFit="1" customWidth="1"/>
    <col min="10" max="12" width="8.28515625" style="1" bestFit="1" customWidth="1"/>
    <col min="13" max="15" width="8.28515625" bestFit="1" customWidth="1"/>
    <col min="16" max="16" width="11.28515625" bestFit="1" customWidth="1"/>
  </cols>
  <sheetData>
    <row r="1" spans="2:17" x14ac:dyDescent="0.25">
      <c r="K1" s="1" t="s">
        <v>253</v>
      </c>
    </row>
    <row r="2" spans="2:17" s="1" customFormat="1" x14ac:dyDescent="0.25">
      <c r="B2" t="s">
        <v>229</v>
      </c>
      <c r="C2" s="98" t="s">
        <v>232</v>
      </c>
      <c r="D2" s="98"/>
      <c r="E2" s="98"/>
      <c r="F2" s="98"/>
      <c r="G2" s="98"/>
      <c r="H2" s="98"/>
      <c r="I2" s="5" t="s">
        <v>171</v>
      </c>
      <c r="K2" s="53"/>
      <c r="M2"/>
      <c r="N2"/>
      <c r="O2"/>
      <c r="P2"/>
      <c r="Q2"/>
    </row>
    <row r="3" spans="2:17" s="1" customFormat="1" x14ac:dyDescent="0.25">
      <c r="B3"/>
      <c r="C3" s="15" t="s">
        <v>233</v>
      </c>
      <c r="E3"/>
      <c r="F3"/>
      <c r="G3"/>
      <c r="H3"/>
      <c r="M3"/>
      <c r="N3"/>
      <c r="O3"/>
      <c r="P3"/>
      <c r="Q3"/>
    </row>
    <row r="6" spans="2:17" s="1" customFormat="1" x14ac:dyDescent="0.25">
      <c r="B6"/>
      <c r="C6" s="4" t="s">
        <v>7</v>
      </c>
      <c r="E6"/>
      <c r="F6"/>
      <c r="G6"/>
      <c r="H6" s="4" t="s">
        <v>213</v>
      </c>
      <c r="M6"/>
      <c r="N6"/>
      <c r="O6"/>
      <c r="P6"/>
      <c r="Q6"/>
    </row>
    <row r="7" spans="2:17" s="1" customFormat="1" ht="15.75" thickBot="1" x14ac:dyDescent="0.3">
      <c r="B7"/>
      <c r="C7" s="33" t="s">
        <v>0</v>
      </c>
      <c r="D7" s="33" t="s">
        <v>230</v>
      </c>
      <c r="E7" s="33" t="s">
        <v>231</v>
      </c>
      <c r="F7"/>
      <c r="G7"/>
      <c r="H7"/>
      <c r="M7"/>
      <c r="N7"/>
      <c r="O7"/>
      <c r="P7"/>
      <c r="Q7"/>
    </row>
    <row r="8" spans="2:17" s="1" customFormat="1" ht="15.75" thickTop="1" x14ac:dyDescent="0.25">
      <c r="B8"/>
      <c r="C8" s="35" t="s">
        <v>185</v>
      </c>
      <c r="D8" s="36">
        <v>435</v>
      </c>
      <c r="E8" s="36">
        <v>268</v>
      </c>
      <c r="F8"/>
      <c r="G8"/>
      <c r="H8"/>
      <c r="M8"/>
      <c r="N8"/>
      <c r="O8"/>
      <c r="P8"/>
      <c r="Q8"/>
    </row>
    <row r="9" spans="2:17" s="1" customFormat="1" x14ac:dyDescent="0.25">
      <c r="B9"/>
      <c r="C9" s="35" t="s">
        <v>186</v>
      </c>
      <c r="D9" s="36">
        <v>114</v>
      </c>
      <c r="E9" s="36">
        <v>81</v>
      </c>
      <c r="F9"/>
      <c r="G9"/>
      <c r="H9"/>
      <c r="M9"/>
      <c r="N9"/>
      <c r="O9"/>
      <c r="P9"/>
      <c r="Q9"/>
    </row>
    <row r="10" spans="2:17" s="1" customFormat="1" x14ac:dyDescent="0.25">
      <c r="B10"/>
      <c r="C10" s="35" t="s">
        <v>187</v>
      </c>
      <c r="D10" s="36">
        <v>234</v>
      </c>
      <c r="E10" s="36">
        <v>300</v>
      </c>
      <c r="F10"/>
      <c r="G10"/>
      <c r="H10"/>
      <c r="M10"/>
      <c r="N10"/>
      <c r="O10"/>
      <c r="P10"/>
      <c r="Q10"/>
    </row>
    <row r="11" spans="2:17" s="1" customFormat="1" x14ac:dyDescent="0.25">
      <c r="B11"/>
      <c r="C11" s="35" t="s">
        <v>188</v>
      </c>
      <c r="D11" s="36">
        <v>164</v>
      </c>
      <c r="E11" s="36">
        <v>373</v>
      </c>
      <c r="F11"/>
      <c r="G11"/>
      <c r="H11"/>
      <c r="M11"/>
      <c r="N11"/>
      <c r="O11"/>
      <c r="P11"/>
      <c r="Q11"/>
    </row>
    <row r="12" spans="2:17" s="1" customFormat="1" x14ac:dyDescent="0.25">
      <c r="B12"/>
      <c r="C12" s="35" t="s">
        <v>189</v>
      </c>
      <c r="D12" s="36">
        <v>354</v>
      </c>
      <c r="E12" s="36">
        <v>265</v>
      </c>
      <c r="F12"/>
      <c r="G12"/>
      <c r="H12"/>
      <c r="M12"/>
      <c r="N12"/>
      <c r="O12"/>
      <c r="P12"/>
      <c r="Q12"/>
    </row>
    <row r="13" spans="2:17" s="1" customFormat="1" x14ac:dyDescent="0.25">
      <c r="B13"/>
      <c r="C13" s="35" t="s">
        <v>190</v>
      </c>
      <c r="D13" s="36">
        <v>156</v>
      </c>
      <c r="E13" s="36">
        <v>129</v>
      </c>
      <c r="F13"/>
      <c r="G13"/>
      <c r="H13"/>
      <c r="M13"/>
      <c r="N13"/>
      <c r="O13"/>
      <c r="P13"/>
      <c r="Q13"/>
    </row>
    <row r="14" spans="2:17" s="1" customFormat="1" x14ac:dyDescent="0.25">
      <c r="B14"/>
      <c r="C14" s="35" t="s">
        <v>191</v>
      </c>
      <c r="D14" s="36">
        <v>114</v>
      </c>
      <c r="E14" s="36">
        <v>432</v>
      </c>
      <c r="F14"/>
      <c r="G14"/>
      <c r="H14"/>
      <c r="M14"/>
      <c r="N14"/>
      <c r="O14"/>
      <c r="P14"/>
      <c r="Q14"/>
    </row>
    <row r="15" spans="2:17" s="1" customFormat="1" x14ac:dyDescent="0.25">
      <c r="B15"/>
      <c r="C15" s="35" t="s">
        <v>192</v>
      </c>
      <c r="D15" s="36">
        <v>67</v>
      </c>
      <c r="E15" s="36">
        <v>419</v>
      </c>
      <c r="F15"/>
      <c r="G15"/>
      <c r="H15"/>
      <c r="M15"/>
      <c r="N15"/>
      <c r="O15"/>
      <c r="P15"/>
      <c r="Q15"/>
    </row>
    <row r="16" spans="2:17" x14ac:dyDescent="0.25">
      <c r="C16" s="35" t="s">
        <v>193</v>
      </c>
      <c r="D16" s="36">
        <v>435</v>
      </c>
      <c r="E16" s="36">
        <v>352</v>
      </c>
    </row>
    <row r="17" spans="3:15" x14ac:dyDescent="0.25">
      <c r="C17" s="35" t="s">
        <v>194</v>
      </c>
      <c r="D17" s="36">
        <v>124</v>
      </c>
      <c r="E17" s="36">
        <v>270</v>
      </c>
    </row>
    <row r="24" spans="3:15" x14ac:dyDescent="0.25">
      <c r="H24" s="25" t="s">
        <v>269</v>
      </c>
      <c r="I24" s="26"/>
      <c r="J24" s="26"/>
      <c r="K24" s="26"/>
      <c r="L24" s="26"/>
      <c r="M24" s="25"/>
      <c r="N24" s="25"/>
      <c r="O24" s="25"/>
    </row>
    <row r="25" spans="3:15" x14ac:dyDescent="0.25">
      <c r="H25" s="25"/>
      <c r="I25" s="26"/>
      <c r="J25" s="26"/>
      <c r="K25" s="26"/>
      <c r="L25" s="26"/>
      <c r="M25" s="25"/>
      <c r="N25" s="25"/>
      <c r="O25" s="25"/>
    </row>
    <row r="26" spans="3:15" x14ac:dyDescent="0.25">
      <c r="H26" s="25"/>
      <c r="I26" s="26"/>
      <c r="J26" s="26"/>
      <c r="K26" s="26"/>
      <c r="L26" s="26"/>
      <c r="M26" s="25"/>
      <c r="N26" s="25"/>
      <c r="O26" s="25"/>
    </row>
    <row r="27" spans="3:15" x14ac:dyDescent="0.25">
      <c r="H27" s="25"/>
      <c r="I27" s="26"/>
      <c r="J27" s="26"/>
      <c r="K27" s="26"/>
      <c r="L27" s="26"/>
      <c r="M27" s="25"/>
      <c r="N27" s="25"/>
      <c r="O27" s="25"/>
    </row>
    <row r="28" spans="3:15" x14ac:dyDescent="0.25">
      <c r="H28" s="25"/>
      <c r="I28" s="26"/>
      <c r="J28" s="26"/>
      <c r="K28" s="26"/>
      <c r="L28" s="26"/>
      <c r="M28" s="25"/>
      <c r="N28" s="25"/>
      <c r="O28" s="25"/>
    </row>
    <row r="29" spans="3:15" x14ac:dyDescent="0.25">
      <c r="H29" s="25"/>
      <c r="I29" s="26"/>
      <c r="J29" s="26"/>
      <c r="K29" s="26"/>
      <c r="L29" s="26"/>
      <c r="M29" s="25"/>
      <c r="N29" s="25"/>
      <c r="O29" s="25"/>
    </row>
    <row r="30" spans="3:15" x14ac:dyDescent="0.25">
      <c r="H30" s="25"/>
      <c r="I30" s="26"/>
      <c r="J30" s="26"/>
      <c r="K30" s="26"/>
      <c r="L30" s="26"/>
      <c r="M30" s="25"/>
      <c r="N30" s="25"/>
      <c r="O30" s="25"/>
    </row>
    <row r="31" spans="3:15" x14ac:dyDescent="0.25">
      <c r="H31" s="25"/>
      <c r="I31" s="26"/>
      <c r="J31" s="26"/>
      <c r="K31" s="26"/>
      <c r="L31" s="26"/>
      <c r="M31" s="25"/>
      <c r="N31" s="25"/>
      <c r="O31" s="25"/>
    </row>
    <row r="32" spans="3:15" x14ac:dyDescent="0.25">
      <c r="H32" s="25"/>
      <c r="I32" s="26"/>
      <c r="J32" s="26"/>
      <c r="K32" s="26"/>
      <c r="L32" s="26"/>
      <c r="M32" s="25"/>
      <c r="N32" s="25"/>
      <c r="O32" s="25"/>
    </row>
    <row r="33" spans="8:15" x14ac:dyDescent="0.25">
      <c r="H33" s="25"/>
      <c r="I33" s="26"/>
      <c r="J33" s="26"/>
      <c r="K33" s="26"/>
      <c r="L33" s="26"/>
      <c r="M33" s="25"/>
      <c r="N33" s="25"/>
      <c r="O33" s="25"/>
    </row>
    <row r="34" spans="8:15" x14ac:dyDescent="0.25">
      <c r="H34" s="25"/>
      <c r="I34" s="26"/>
      <c r="J34" s="26"/>
      <c r="K34" s="26"/>
      <c r="L34" s="26"/>
      <c r="M34" s="25"/>
      <c r="N34" s="25"/>
      <c r="O34" s="25"/>
    </row>
    <row r="35" spans="8:15" x14ac:dyDescent="0.25">
      <c r="H35" s="25"/>
      <c r="I35" s="26"/>
      <c r="J35" s="26"/>
      <c r="K35" s="26"/>
      <c r="L35" s="26"/>
      <c r="M35" s="25"/>
      <c r="N35" s="25"/>
      <c r="O35" s="25"/>
    </row>
    <row r="36" spans="8:15" x14ac:dyDescent="0.25">
      <c r="H36" s="25"/>
      <c r="I36" s="26"/>
      <c r="J36" s="26"/>
      <c r="K36" s="26"/>
      <c r="L36" s="26"/>
      <c r="M36" s="25"/>
      <c r="N36" s="25"/>
      <c r="O36" s="25"/>
    </row>
    <row r="37" spans="8:15" x14ac:dyDescent="0.25">
      <c r="H37" s="25"/>
      <c r="I37" s="26"/>
      <c r="J37" s="26"/>
      <c r="K37" s="26"/>
      <c r="L37" s="26"/>
      <c r="M37" s="25"/>
      <c r="N37" s="25"/>
      <c r="O37" s="25"/>
    </row>
    <row r="38" spans="8:15" x14ac:dyDescent="0.25">
      <c r="H38" s="25"/>
      <c r="I38" s="26"/>
      <c r="J38" s="26"/>
      <c r="K38" s="26"/>
      <c r="L38" s="26"/>
      <c r="M38" s="25"/>
      <c r="N38" s="25"/>
      <c r="O38" s="25"/>
    </row>
    <row r="39" spans="8:15" x14ac:dyDescent="0.25">
      <c r="H39" s="25"/>
      <c r="I39" s="26"/>
      <c r="J39" s="26"/>
      <c r="K39" s="26"/>
      <c r="L39" s="26"/>
      <c r="M39" s="25"/>
      <c r="N39" s="25"/>
      <c r="O39" s="25"/>
    </row>
  </sheetData>
  <sheetProtection password="DCA3" sheet="1"/>
  <mergeCells count="1">
    <mergeCell ref="C2:H2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Q27"/>
  <sheetViews>
    <sheetView showGridLines="0" showRowColHeaders="0" zoomScale="85" zoomScaleNormal="85" workbookViewId="0">
      <selection activeCell="I23" sqref="I23"/>
    </sheetView>
  </sheetViews>
  <sheetFormatPr defaultColWidth="9.140625" defaultRowHeight="15" x14ac:dyDescent="0.25"/>
  <cols>
    <col min="3" max="3" width="17.7109375" customWidth="1"/>
    <col min="4" max="4" width="11.28515625" customWidth="1"/>
    <col min="5" max="5" width="15.42578125" customWidth="1"/>
    <col min="6" max="8" width="11.28515625" customWidth="1"/>
    <col min="9" max="9" width="10.42578125" bestFit="1" customWidth="1"/>
    <col min="10" max="10" width="3.5703125" customWidth="1"/>
    <col min="11" max="11" width="16" bestFit="1" customWidth="1"/>
    <col min="12" max="12" width="17" customWidth="1"/>
  </cols>
  <sheetData>
    <row r="1" spans="2:17" x14ac:dyDescent="0.25">
      <c r="I1" s="1"/>
      <c r="J1" s="1"/>
      <c r="K1" s="1" t="s">
        <v>253</v>
      </c>
      <c r="L1" s="1"/>
      <c r="M1" s="1"/>
      <c r="N1" s="1"/>
      <c r="O1" s="1"/>
      <c r="P1" s="1"/>
      <c r="Q1" s="1"/>
    </row>
    <row r="2" spans="2:17" ht="30" customHeight="1" x14ac:dyDescent="0.25">
      <c r="B2" t="s">
        <v>249</v>
      </c>
      <c r="C2" s="98" t="s">
        <v>267</v>
      </c>
      <c r="D2" s="98"/>
      <c r="E2" s="98"/>
      <c r="F2" s="98"/>
      <c r="G2" s="98"/>
      <c r="H2" s="98"/>
      <c r="I2" s="40" t="s">
        <v>171</v>
      </c>
      <c r="J2" s="1"/>
      <c r="K2" s="53"/>
      <c r="L2" s="1"/>
      <c r="M2" s="1"/>
      <c r="N2" s="1"/>
      <c r="O2" s="1"/>
      <c r="P2" s="1"/>
      <c r="Q2" s="1"/>
    </row>
    <row r="3" spans="2:17" x14ac:dyDescent="0.25">
      <c r="C3" s="15" t="s">
        <v>170</v>
      </c>
      <c r="I3" s="1"/>
      <c r="J3" s="1"/>
      <c r="K3" s="1"/>
      <c r="L3" s="1"/>
      <c r="M3" s="1"/>
      <c r="N3" s="1"/>
      <c r="O3" s="1"/>
      <c r="P3" s="1"/>
      <c r="Q3" s="1"/>
    </row>
    <row r="4" spans="2:17" x14ac:dyDescent="0.25">
      <c r="C4" s="15"/>
      <c r="I4" s="1"/>
      <c r="J4" s="1"/>
      <c r="K4" s="1"/>
      <c r="L4" s="1"/>
      <c r="M4" s="1"/>
      <c r="N4" s="1"/>
      <c r="O4" s="1"/>
      <c r="P4" s="1"/>
      <c r="Q4" s="1"/>
    </row>
    <row r="5" spans="2:17" x14ac:dyDescent="0.25">
      <c r="C5" s="15"/>
      <c r="I5" s="1"/>
      <c r="J5" s="1"/>
      <c r="K5" s="1"/>
      <c r="L5" s="1"/>
      <c r="M5" s="1"/>
      <c r="N5" s="1"/>
      <c r="O5" s="1"/>
      <c r="P5" s="1"/>
      <c r="Q5" s="1"/>
    </row>
    <row r="6" spans="2:17" x14ac:dyDescent="0.25">
      <c r="C6" t="s">
        <v>7</v>
      </c>
      <c r="I6" t="s">
        <v>169</v>
      </c>
    </row>
    <row r="7" spans="2:17" ht="15.75" thickBot="1" x14ac:dyDescent="0.3">
      <c r="C7" s="6" t="s">
        <v>181</v>
      </c>
      <c r="D7" s="6" t="s">
        <v>258</v>
      </c>
      <c r="E7" s="6" t="s">
        <v>259</v>
      </c>
      <c r="I7" s="67" t="s">
        <v>260</v>
      </c>
      <c r="J7" s="68" t="s">
        <v>268</v>
      </c>
      <c r="K7" s="67" t="s">
        <v>259</v>
      </c>
    </row>
    <row r="8" spans="2:17" ht="15.75" thickTop="1" x14ac:dyDescent="0.25">
      <c r="C8" s="14" t="s">
        <v>201</v>
      </c>
      <c r="D8" s="14">
        <v>31</v>
      </c>
      <c r="E8" s="59"/>
      <c r="I8" s="63">
        <v>18</v>
      </c>
      <c r="J8" s="62" t="s">
        <v>268</v>
      </c>
      <c r="K8" s="61" t="s">
        <v>261</v>
      </c>
    </row>
    <row r="9" spans="2:17" x14ac:dyDescent="0.25">
      <c r="C9" s="14" t="s">
        <v>202</v>
      </c>
      <c r="D9" s="14">
        <v>31</v>
      </c>
      <c r="E9" s="59"/>
      <c r="I9" s="64">
        <v>19</v>
      </c>
      <c r="J9" s="65" t="s">
        <v>268</v>
      </c>
      <c r="K9" s="66" t="s">
        <v>262</v>
      </c>
    </row>
    <row r="10" spans="2:17" x14ac:dyDescent="0.25">
      <c r="C10" s="14" t="s">
        <v>196</v>
      </c>
      <c r="D10" s="14">
        <v>23</v>
      </c>
      <c r="E10" s="59"/>
      <c r="I10" s="64">
        <v>21</v>
      </c>
      <c r="J10" s="65" t="s">
        <v>268</v>
      </c>
      <c r="K10" s="66" t="s">
        <v>263</v>
      </c>
    </row>
    <row r="11" spans="2:17" x14ac:dyDescent="0.25">
      <c r="C11" s="14" t="s">
        <v>199</v>
      </c>
      <c r="D11" s="14">
        <v>26</v>
      </c>
      <c r="E11" s="59"/>
      <c r="I11" s="64">
        <v>26</v>
      </c>
      <c r="J11" s="65" t="s">
        <v>268</v>
      </c>
      <c r="K11" s="66" t="s">
        <v>265</v>
      </c>
    </row>
    <row r="12" spans="2:17" x14ac:dyDescent="0.25">
      <c r="C12" s="14" t="s">
        <v>192</v>
      </c>
      <c r="D12" s="14">
        <v>30</v>
      </c>
      <c r="E12" s="59"/>
      <c r="I12" s="64">
        <v>31</v>
      </c>
      <c r="J12" s="65" t="s">
        <v>268</v>
      </c>
      <c r="K12" s="66" t="s">
        <v>264</v>
      </c>
    </row>
    <row r="13" spans="2:17" x14ac:dyDescent="0.25">
      <c r="C13" s="14" t="s">
        <v>186</v>
      </c>
      <c r="D13" s="14">
        <v>31</v>
      </c>
      <c r="E13" s="59"/>
      <c r="I13" s="64">
        <v>36</v>
      </c>
      <c r="J13" s="65" t="s">
        <v>268</v>
      </c>
      <c r="K13" s="66" t="s">
        <v>266</v>
      </c>
    </row>
    <row r="14" spans="2:17" x14ac:dyDescent="0.25">
      <c r="C14" s="14" t="s">
        <v>198</v>
      </c>
      <c r="D14" s="14">
        <v>19</v>
      </c>
      <c r="E14" s="59"/>
    </row>
    <row r="15" spans="2:17" x14ac:dyDescent="0.25">
      <c r="C15" s="14" t="s">
        <v>191</v>
      </c>
      <c r="D15" s="14">
        <v>26</v>
      </c>
      <c r="E15" s="59"/>
    </row>
    <row r="16" spans="2:17" x14ac:dyDescent="0.25">
      <c r="C16" s="14" t="s">
        <v>188</v>
      </c>
      <c r="D16" s="14">
        <v>20</v>
      </c>
      <c r="E16" s="59"/>
    </row>
    <row r="17" spans="3:5" x14ac:dyDescent="0.25">
      <c r="C17" s="14" t="s">
        <v>189</v>
      </c>
      <c r="D17" s="14">
        <v>20</v>
      </c>
      <c r="E17" s="59"/>
    </row>
    <row r="18" spans="3:5" x14ac:dyDescent="0.25">
      <c r="C18" s="14" t="s">
        <v>185</v>
      </c>
      <c r="D18" s="14">
        <v>33</v>
      </c>
      <c r="E18" s="59"/>
    </row>
    <row r="19" spans="3:5" x14ac:dyDescent="0.25">
      <c r="C19" s="14" t="s">
        <v>197</v>
      </c>
      <c r="D19" s="14">
        <v>31</v>
      </c>
      <c r="E19" s="59"/>
    </row>
    <row r="20" spans="3:5" x14ac:dyDescent="0.25">
      <c r="C20" s="14" t="s">
        <v>194</v>
      </c>
      <c r="D20" s="14">
        <v>23</v>
      </c>
      <c r="E20" s="59"/>
    </row>
    <row r="21" spans="3:5" x14ac:dyDescent="0.25">
      <c r="C21" s="14" t="s">
        <v>193</v>
      </c>
      <c r="D21" s="14">
        <v>25</v>
      </c>
      <c r="E21" s="59"/>
    </row>
    <row r="22" spans="3:5" x14ac:dyDescent="0.25">
      <c r="C22" s="14" t="s">
        <v>195</v>
      </c>
      <c r="D22" s="14">
        <v>32</v>
      </c>
      <c r="E22" s="59"/>
    </row>
    <row r="23" spans="3:5" x14ac:dyDescent="0.25">
      <c r="C23" s="14" t="s">
        <v>187</v>
      </c>
      <c r="D23" s="14">
        <v>27</v>
      </c>
      <c r="E23" s="59"/>
    </row>
    <row r="24" spans="3:5" x14ac:dyDescent="0.25">
      <c r="C24" s="14" t="s">
        <v>190</v>
      </c>
      <c r="D24" s="14">
        <v>31</v>
      </c>
      <c r="E24" s="59"/>
    </row>
    <row r="25" spans="3:5" x14ac:dyDescent="0.25">
      <c r="C25" s="14" t="s">
        <v>203</v>
      </c>
      <c r="D25" s="14">
        <v>20</v>
      </c>
      <c r="E25" s="59"/>
    </row>
    <row r="26" spans="3:5" x14ac:dyDescent="0.25">
      <c r="C26" s="14" t="s">
        <v>200</v>
      </c>
      <c r="D26" s="14">
        <v>35</v>
      </c>
      <c r="E26" s="59"/>
    </row>
    <row r="27" spans="3:5" x14ac:dyDescent="0.25">
      <c r="C27" s="14" t="s">
        <v>204</v>
      </c>
      <c r="D27" s="14">
        <v>32</v>
      </c>
      <c r="E27" s="59"/>
    </row>
  </sheetData>
  <sheetProtection password="DCA3" sheet="1" objects="1" scenarios="1"/>
  <mergeCells count="1">
    <mergeCell ref="C2:H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Q28"/>
  <sheetViews>
    <sheetView showGridLines="0" showRowColHeaders="0" zoomScale="85" zoomScaleNormal="85" workbookViewId="0">
      <selection activeCell="L12" sqref="L12"/>
    </sheetView>
  </sheetViews>
  <sheetFormatPr defaultColWidth="9.140625" defaultRowHeight="15" x14ac:dyDescent="0.25"/>
  <cols>
    <col min="3" max="3" width="18.28515625" customWidth="1"/>
    <col min="4" max="4" width="27.5703125" customWidth="1"/>
    <col min="5" max="5" width="2.140625" customWidth="1"/>
    <col min="6" max="6" width="17" customWidth="1"/>
    <col min="7" max="7" width="2.140625" customWidth="1"/>
    <col min="8" max="8" width="17" customWidth="1"/>
    <col min="9" max="9" width="2.140625" customWidth="1"/>
    <col min="10" max="10" width="17" customWidth="1"/>
    <col min="11" max="11" width="4.7109375" customWidth="1"/>
    <col min="12" max="12" width="17" customWidth="1"/>
  </cols>
  <sheetData>
    <row r="1" spans="2:17" x14ac:dyDescent="0.25">
      <c r="I1" s="1"/>
      <c r="J1" s="1"/>
      <c r="K1" s="1" t="s">
        <v>253</v>
      </c>
      <c r="L1" s="1"/>
      <c r="M1" s="1"/>
      <c r="N1" s="1"/>
      <c r="O1" s="1"/>
      <c r="P1" s="1"/>
      <c r="Q1" s="1"/>
    </row>
    <row r="2" spans="2:17" x14ac:dyDescent="0.25">
      <c r="B2" t="s">
        <v>257</v>
      </c>
      <c r="C2" t="s">
        <v>234</v>
      </c>
      <c r="H2" s="40" t="s">
        <v>235</v>
      </c>
      <c r="I2" s="5"/>
      <c r="J2" s="1"/>
      <c r="K2" s="52">
        <f>IF(SUM(N9,N11,N13,N15,N17,N19,N21,N23,N25,N27)&gt;5,#N/A,IF(MAX(N9:N27)&gt;0.5,#N/A,SUM(N9,N11,N13,N15,N17,N19,N21,N23,N25,N27)))</f>
        <v>0</v>
      </c>
      <c r="L2" s="1"/>
      <c r="M2" s="1"/>
      <c r="N2" s="1"/>
      <c r="O2" s="1"/>
      <c r="P2" s="1"/>
      <c r="Q2" s="1"/>
    </row>
    <row r="3" spans="2:17" x14ac:dyDescent="0.25">
      <c r="C3" s="15" t="s">
        <v>170</v>
      </c>
      <c r="I3" s="1"/>
      <c r="J3" s="1"/>
      <c r="K3" s="1"/>
      <c r="L3" s="1"/>
      <c r="M3" s="1"/>
      <c r="N3" s="1"/>
      <c r="O3" s="1"/>
      <c r="P3" s="1"/>
      <c r="Q3" s="1"/>
    </row>
    <row r="4" spans="2:17" x14ac:dyDescent="0.25">
      <c r="C4" s="15"/>
      <c r="I4" s="1"/>
      <c r="J4" s="1"/>
      <c r="K4" s="1"/>
      <c r="L4" s="1"/>
      <c r="M4" s="1"/>
      <c r="N4" s="1"/>
      <c r="O4" s="1"/>
      <c r="P4" s="1"/>
      <c r="Q4" s="1"/>
    </row>
    <row r="5" spans="2:17" x14ac:dyDescent="0.25">
      <c r="C5" s="15"/>
      <c r="I5" s="1"/>
      <c r="J5" s="1"/>
      <c r="K5" s="1"/>
      <c r="L5" s="1"/>
      <c r="M5" s="1"/>
      <c r="N5" s="1"/>
      <c r="O5" s="1"/>
      <c r="P5" s="1"/>
      <c r="Q5" s="1"/>
    </row>
    <row r="6" spans="2:17" x14ac:dyDescent="0.25">
      <c r="C6" s="15"/>
      <c r="I6" s="1"/>
      <c r="J6" s="1"/>
      <c r="K6" s="1"/>
      <c r="L6" s="1"/>
      <c r="M6" s="1"/>
      <c r="N6" s="1"/>
      <c r="O6" s="1"/>
      <c r="P6" s="1"/>
      <c r="Q6" s="1"/>
    </row>
    <row r="7" spans="2:17" x14ac:dyDescent="0.25">
      <c r="B7" s="41" t="s">
        <v>236</v>
      </c>
      <c r="C7" s="101" t="s">
        <v>237</v>
      </c>
      <c r="D7" s="102"/>
      <c r="E7" s="42"/>
      <c r="F7" s="43" t="s">
        <v>239</v>
      </c>
      <c r="G7" s="42"/>
      <c r="H7" s="43" t="s">
        <v>240</v>
      </c>
      <c r="I7" s="42"/>
      <c r="J7" s="43" t="s">
        <v>241</v>
      </c>
      <c r="K7" s="1"/>
      <c r="L7" s="44" t="s">
        <v>238</v>
      </c>
      <c r="M7" s="1"/>
      <c r="N7" s="1" t="s">
        <v>253</v>
      </c>
      <c r="O7" s="1"/>
      <c r="P7" s="1"/>
      <c r="Q7" s="1"/>
    </row>
    <row r="8" spans="2:17" ht="5.25" customHeight="1" x14ac:dyDescent="0.25">
      <c r="B8" s="1"/>
      <c r="F8" s="1"/>
      <c r="H8" s="1"/>
      <c r="J8" s="1"/>
      <c r="L8" s="1"/>
    </row>
    <row r="9" spans="2:17" x14ac:dyDescent="0.25">
      <c r="B9" s="41">
        <v>1</v>
      </c>
      <c r="C9" s="99" t="s">
        <v>242</v>
      </c>
      <c r="D9" s="100"/>
      <c r="E9" s="42"/>
      <c r="F9" s="43" t="s">
        <v>192</v>
      </c>
      <c r="G9" s="47"/>
      <c r="J9" s="1"/>
      <c r="L9" s="46"/>
      <c r="N9" s="60"/>
    </row>
    <row r="10" spans="2:17" ht="5.25" customHeight="1" x14ac:dyDescent="0.25">
      <c r="B10" s="1"/>
      <c r="F10" s="1"/>
      <c r="H10" s="1"/>
      <c r="J10" s="1"/>
      <c r="L10" s="1"/>
    </row>
    <row r="11" spans="2:17" x14ac:dyDescent="0.25">
      <c r="B11" s="41">
        <f>+B9+1</f>
        <v>2</v>
      </c>
      <c r="C11" s="99" t="s">
        <v>243</v>
      </c>
      <c r="D11" s="100"/>
      <c r="E11" s="42"/>
      <c r="F11" s="43">
        <v>596</v>
      </c>
      <c r="G11" s="42"/>
      <c r="H11" s="43">
        <v>185</v>
      </c>
      <c r="I11" s="50"/>
      <c r="J11" s="43">
        <v>486</v>
      </c>
      <c r="L11" s="46"/>
      <c r="N11" s="60"/>
    </row>
    <row r="12" spans="2:17" ht="5.25" customHeight="1" x14ac:dyDescent="0.25">
      <c r="B12" s="1"/>
      <c r="F12" s="1"/>
      <c r="H12" s="1"/>
      <c r="J12" s="1"/>
      <c r="L12" s="1"/>
    </row>
    <row r="13" spans="2:17" x14ac:dyDescent="0.25">
      <c r="B13" s="41">
        <f>+B11+1</f>
        <v>3</v>
      </c>
      <c r="C13" s="99" t="s">
        <v>244</v>
      </c>
      <c r="D13" s="100"/>
      <c r="E13" s="42"/>
      <c r="F13" s="43">
        <v>195</v>
      </c>
      <c r="G13" s="42"/>
      <c r="H13" s="43">
        <v>255</v>
      </c>
      <c r="I13" s="50"/>
      <c r="J13" s="43">
        <v>985</v>
      </c>
      <c r="L13" s="46"/>
      <c r="N13" s="60"/>
    </row>
    <row r="14" spans="2:17" ht="5.25" customHeight="1" x14ac:dyDescent="0.25">
      <c r="B14" s="1"/>
      <c r="F14" s="1"/>
      <c r="H14" s="1"/>
      <c r="J14" s="1"/>
      <c r="L14" s="1"/>
    </row>
    <row r="15" spans="2:17" x14ac:dyDescent="0.25">
      <c r="B15" s="41">
        <f>+B13+1</f>
        <v>4</v>
      </c>
      <c r="C15" s="99" t="s">
        <v>245</v>
      </c>
      <c r="D15" s="100"/>
      <c r="E15" s="42"/>
      <c r="F15" s="45">
        <v>0.79</v>
      </c>
      <c r="G15" s="42"/>
      <c r="H15" s="45">
        <v>-0.89</v>
      </c>
      <c r="I15" s="50"/>
      <c r="J15" s="45">
        <v>0.48</v>
      </c>
      <c r="L15" s="51"/>
      <c r="N15" s="60"/>
    </row>
    <row r="16" spans="2:17" ht="5.25" customHeight="1" x14ac:dyDescent="0.25">
      <c r="B16" s="1"/>
      <c r="F16" s="1"/>
      <c r="H16" s="1"/>
      <c r="J16" s="1"/>
      <c r="L16" s="1"/>
    </row>
    <row r="17" spans="2:14" x14ac:dyDescent="0.25">
      <c r="B17" s="41">
        <f>+B15+1</f>
        <v>5</v>
      </c>
      <c r="C17" s="99" t="s">
        <v>246</v>
      </c>
      <c r="D17" s="100"/>
      <c r="E17" s="42"/>
      <c r="F17" s="43">
        <v>85</v>
      </c>
      <c r="G17" s="42"/>
      <c r="H17" s="43">
        <v>80</v>
      </c>
      <c r="I17" s="50"/>
      <c r="J17" s="43">
        <v>83</v>
      </c>
      <c r="L17" s="46"/>
      <c r="N17" s="60"/>
    </row>
    <row r="18" spans="2:14" ht="5.25" customHeight="1" x14ac:dyDescent="0.25">
      <c r="B18" s="1"/>
      <c r="F18" s="1"/>
      <c r="H18" s="1"/>
      <c r="J18" s="1"/>
      <c r="L18" s="1"/>
    </row>
    <row r="19" spans="2:14" x14ac:dyDescent="0.25">
      <c r="B19" s="41">
        <f>+B17+1</f>
        <v>6</v>
      </c>
      <c r="C19" s="99" t="s">
        <v>248</v>
      </c>
      <c r="D19" s="100"/>
      <c r="E19" s="42"/>
      <c r="F19" s="43" t="s">
        <v>194</v>
      </c>
      <c r="G19" s="47"/>
      <c r="J19" s="1"/>
      <c r="L19" s="46"/>
      <c r="N19" s="60"/>
    </row>
    <row r="20" spans="2:14" ht="5.25" customHeight="1" x14ac:dyDescent="0.25">
      <c r="B20" s="1"/>
      <c r="F20" s="1"/>
      <c r="H20" s="1"/>
      <c r="J20" s="1"/>
      <c r="L20" s="1"/>
    </row>
    <row r="21" spans="2:14" x14ac:dyDescent="0.25">
      <c r="B21" s="41">
        <f>+B19+1</f>
        <v>7</v>
      </c>
      <c r="C21" s="99" t="s">
        <v>247</v>
      </c>
      <c r="D21" s="100"/>
      <c r="E21" s="42"/>
      <c r="F21" s="43" t="s">
        <v>186</v>
      </c>
      <c r="G21" s="47"/>
      <c r="J21" s="1"/>
      <c r="L21" s="46"/>
      <c r="N21" s="60"/>
    </row>
    <row r="22" spans="2:14" ht="5.25" customHeight="1" x14ac:dyDescent="0.25">
      <c r="B22" s="1"/>
      <c r="F22" s="1"/>
      <c r="H22" s="1"/>
      <c r="J22" s="1"/>
      <c r="L22" s="1"/>
    </row>
    <row r="23" spans="2:14" x14ac:dyDescent="0.25">
      <c r="B23" s="41">
        <f>+B21+1</f>
        <v>8</v>
      </c>
      <c r="C23" s="99" t="s">
        <v>250</v>
      </c>
      <c r="D23" s="100"/>
      <c r="E23" s="42"/>
      <c r="F23" s="45">
        <v>0.35</v>
      </c>
      <c r="G23" s="42"/>
      <c r="H23" s="48">
        <v>0.35</v>
      </c>
      <c r="J23" s="1"/>
      <c r="L23" s="46"/>
      <c r="N23" s="60"/>
    </row>
    <row r="24" spans="2:14" ht="5.25" customHeight="1" x14ac:dyDescent="0.25">
      <c r="B24" s="1"/>
      <c r="F24" s="1"/>
      <c r="H24" s="1"/>
      <c r="J24" s="1"/>
      <c r="L24" s="1"/>
    </row>
    <row r="25" spans="2:14" x14ac:dyDescent="0.25">
      <c r="B25" s="41">
        <f>+B23+1</f>
        <v>9</v>
      </c>
      <c r="C25" s="99" t="s">
        <v>251</v>
      </c>
      <c r="D25" s="100"/>
      <c r="E25" s="42"/>
      <c r="F25" s="49">
        <v>41664</v>
      </c>
      <c r="H25" s="1"/>
      <c r="J25" s="1"/>
      <c r="L25" s="46"/>
      <c r="N25" s="60"/>
    </row>
    <row r="26" spans="2:14" ht="5.25" customHeight="1" x14ac:dyDescent="0.25">
      <c r="B26" s="1"/>
      <c r="F26" s="1"/>
      <c r="H26" s="1"/>
      <c r="J26" s="1"/>
      <c r="L26" s="1"/>
    </row>
    <row r="27" spans="2:14" x14ac:dyDescent="0.25">
      <c r="B27" s="41">
        <f>+B25+1</f>
        <v>10</v>
      </c>
      <c r="C27" s="99" t="s">
        <v>252</v>
      </c>
      <c r="D27" s="100"/>
      <c r="E27" s="42"/>
      <c r="F27" s="43">
        <v>4764.6206896552003</v>
      </c>
      <c r="H27" s="1"/>
      <c r="J27" s="1"/>
      <c r="L27" s="46"/>
      <c r="N27" s="60"/>
    </row>
    <row r="28" spans="2:14" x14ac:dyDescent="0.25">
      <c r="B28" s="1"/>
      <c r="F28" s="1"/>
      <c r="H28" s="1"/>
      <c r="J28" s="1"/>
    </row>
  </sheetData>
  <sheetProtection password="DCA3" sheet="1" objects="1" scenarios="1"/>
  <mergeCells count="11">
    <mergeCell ref="C27:D27"/>
    <mergeCell ref="C7:D7"/>
    <mergeCell ref="C9:D9"/>
    <mergeCell ref="C11:D11"/>
    <mergeCell ref="C13:D13"/>
    <mergeCell ref="C15:D15"/>
    <mergeCell ref="C17:D17"/>
    <mergeCell ref="C19:D19"/>
    <mergeCell ref="C21:D21"/>
    <mergeCell ref="C23:D23"/>
    <mergeCell ref="C25:D2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75"/>
  <sheetViews>
    <sheetView showGridLines="0" workbookViewId="0"/>
  </sheetViews>
  <sheetFormatPr defaultColWidth="9.140625" defaultRowHeight="15" x14ac:dyDescent="0.25"/>
  <cols>
    <col min="1" max="16384" width="9.140625" style="70"/>
  </cols>
  <sheetData>
    <row r="1" spans="1:9" x14ac:dyDescent="0.25">
      <c r="A1" s="69" t="s">
        <v>270</v>
      </c>
    </row>
    <row r="2" spans="1:9" x14ac:dyDescent="0.25">
      <c r="A2" s="71"/>
    </row>
    <row r="3" spans="1:9" x14ac:dyDescent="0.25">
      <c r="A3" s="69" t="s">
        <v>271</v>
      </c>
    </row>
    <row r="4" spans="1:9" x14ac:dyDescent="0.25">
      <c r="A4" s="69"/>
    </row>
    <row r="5" spans="1:9" x14ac:dyDescent="0.25">
      <c r="A5" s="72" t="s">
        <v>313</v>
      </c>
    </row>
    <row r="6" spans="1:9" s="76" customFormat="1" ht="12" x14ac:dyDescent="0.2">
      <c r="A6" s="75" t="s">
        <v>314</v>
      </c>
    </row>
    <row r="7" spans="1:9" s="76" customFormat="1" ht="12" x14ac:dyDescent="0.2">
      <c r="A7" s="75" t="s">
        <v>315</v>
      </c>
      <c r="I7" s="77"/>
    </row>
    <row r="8" spans="1:9" s="76" customFormat="1" ht="12" x14ac:dyDescent="0.2">
      <c r="A8" s="75" t="s">
        <v>316</v>
      </c>
    </row>
    <row r="9" spans="1:9" s="76" customFormat="1" ht="12" x14ac:dyDescent="0.2">
      <c r="A9" s="75" t="s">
        <v>317</v>
      </c>
    </row>
    <row r="10" spans="1:9" x14ac:dyDescent="0.25">
      <c r="A10" s="69"/>
    </row>
    <row r="11" spans="1:9" x14ac:dyDescent="0.25">
      <c r="A11" s="72" t="s">
        <v>275</v>
      </c>
    </row>
    <row r="12" spans="1:9" x14ac:dyDescent="0.25">
      <c r="A12" s="73" t="s">
        <v>276</v>
      </c>
    </row>
    <row r="13" spans="1:9" x14ac:dyDescent="0.25">
      <c r="A13" s="73" t="s">
        <v>277</v>
      </c>
      <c r="I13" s="78"/>
    </row>
    <row r="14" spans="1:9" x14ac:dyDescent="0.25">
      <c r="A14" s="73" t="s">
        <v>278</v>
      </c>
    </row>
    <row r="15" spans="1:9" x14ac:dyDescent="0.25">
      <c r="A15" s="73" t="s">
        <v>279</v>
      </c>
    </row>
    <row r="16" spans="1:9" x14ac:dyDescent="0.25">
      <c r="A16" s="71"/>
    </row>
    <row r="17" spans="1:9" x14ac:dyDescent="0.25">
      <c r="A17" s="72" t="s">
        <v>318</v>
      </c>
    </row>
    <row r="18" spans="1:9" x14ac:dyDescent="0.25">
      <c r="A18" s="73" t="s">
        <v>280</v>
      </c>
    </row>
    <row r="19" spans="1:9" x14ac:dyDescent="0.25">
      <c r="A19" s="73" t="s">
        <v>281</v>
      </c>
      <c r="I19" s="78"/>
    </row>
    <row r="20" spans="1:9" x14ac:dyDescent="0.25">
      <c r="A20" s="73" t="s">
        <v>282</v>
      </c>
    </row>
    <row r="21" spans="1:9" x14ac:dyDescent="0.25">
      <c r="A21" s="73" t="s">
        <v>283</v>
      </c>
    </row>
    <row r="22" spans="1:9" x14ac:dyDescent="0.25">
      <c r="A22" s="71"/>
    </row>
    <row r="23" spans="1:9" x14ac:dyDescent="0.25">
      <c r="A23" s="72" t="s">
        <v>319</v>
      </c>
    </row>
    <row r="24" spans="1:9" x14ac:dyDescent="0.25">
      <c r="A24" s="72" t="s">
        <v>272</v>
      </c>
    </row>
    <row r="25" spans="1:9" x14ac:dyDescent="0.25">
      <c r="A25" s="73" t="s">
        <v>284</v>
      </c>
    </row>
    <row r="26" spans="1:9" x14ac:dyDescent="0.25">
      <c r="A26" s="73" t="s">
        <v>285</v>
      </c>
      <c r="I26" s="78"/>
    </row>
    <row r="27" spans="1:9" x14ac:dyDescent="0.25">
      <c r="A27" s="73" t="s">
        <v>286</v>
      </c>
    </row>
    <row r="28" spans="1:9" x14ac:dyDescent="0.25">
      <c r="A28" s="73" t="s">
        <v>287</v>
      </c>
    </row>
    <row r="29" spans="1:9" x14ac:dyDescent="0.25">
      <c r="A29" s="71"/>
    </row>
    <row r="30" spans="1:9" x14ac:dyDescent="0.25">
      <c r="A30" s="72" t="s">
        <v>320</v>
      </c>
    </row>
    <row r="31" spans="1:9" x14ac:dyDescent="0.25">
      <c r="A31" s="73" t="s">
        <v>288</v>
      </c>
    </row>
    <row r="32" spans="1:9" x14ac:dyDescent="0.25">
      <c r="A32" s="73" t="s">
        <v>289</v>
      </c>
      <c r="I32" s="78"/>
    </row>
    <row r="33" spans="1:9" x14ac:dyDescent="0.25">
      <c r="A33" s="73" t="s">
        <v>290</v>
      </c>
    </row>
    <row r="34" spans="1:9" x14ac:dyDescent="0.25">
      <c r="A34" s="71"/>
    </row>
    <row r="35" spans="1:9" x14ac:dyDescent="0.25">
      <c r="A35" s="72" t="s">
        <v>321</v>
      </c>
    </row>
    <row r="36" spans="1:9" x14ac:dyDescent="0.25">
      <c r="A36" s="73" t="s">
        <v>291</v>
      </c>
    </row>
    <row r="37" spans="1:9" x14ac:dyDescent="0.25">
      <c r="A37" s="73" t="s">
        <v>292</v>
      </c>
      <c r="I37" s="78"/>
    </row>
    <row r="38" spans="1:9" x14ac:dyDescent="0.25">
      <c r="A38" s="73" t="s">
        <v>293</v>
      </c>
    </row>
    <row r="39" spans="1:9" x14ac:dyDescent="0.25">
      <c r="A39" s="73" t="s">
        <v>294</v>
      </c>
    </row>
    <row r="40" spans="1:9" x14ac:dyDescent="0.25">
      <c r="A40" s="71"/>
    </row>
    <row r="41" spans="1:9" x14ac:dyDescent="0.25">
      <c r="A41" s="72" t="s">
        <v>322</v>
      </c>
    </row>
    <row r="42" spans="1:9" x14ac:dyDescent="0.25">
      <c r="A42" s="73" t="s">
        <v>295</v>
      </c>
    </row>
    <row r="43" spans="1:9" x14ac:dyDescent="0.25">
      <c r="A43" s="73" t="s">
        <v>296</v>
      </c>
      <c r="I43" s="78"/>
    </row>
    <row r="44" spans="1:9" x14ac:dyDescent="0.25">
      <c r="A44" s="73" t="s">
        <v>297</v>
      </c>
    </row>
    <row r="45" spans="1:9" x14ac:dyDescent="0.25">
      <c r="A45" s="74"/>
    </row>
    <row r="46" spans="1:9" x14ac:dyDescent="0.25">
      <c r="A46" s="72" t="s">
        <v>323</v>
      </c>
    </row>
    <row r="47" spans="1:9" x14ac:dyDescent="0.25">
      <c r="A47" s="73" t="s">
        <v>295</v>
      </c>
    </row>
    <row r="48" spans="1:9" x14ac:dyDescent="0.25">
      <c r="A48" s="73" t="s">
        <v>298</v>
      </c>
    </row>
    <row r="49" spans="1:10" x14ac:dyDescent="0.25">
      <c r="A49" s="73" t="s">
        <v>299</v>
      </c>
      <c r="I49" s="78"/>
    </row>
    <row r="50" spans="1:10" x14ac:dyDescent="0.25">
      <c r="A50" s="71"/>
    </row>
    <row r="51" spans="1:10" x14ac:dyDescent="0.25">
      <c r="A51" s="74"/>
    </row>
    <row r="52" spans="1:10" x14ac:dyDescent="0.25">
      <c r="A52" s="74"/>
    </row>
    <row r="53" spans="1:10" x14ac:dyDescent="0.25">
      <c r="A53" s="74"/>
    </row>
    <row r="54" spans="1:10" x14ac:dyDescent="0.25">
      <c r="A54" s="69" t="s">
        <v>273</v>
      </c>
    </row>
    <row r="55" spans="1:10" x14ac:dyDescent="0.25">
      <c r="A55" s="74"/>
    </row>
    <row r="56" spans="1:10" x14ac:dyDescent="0.25">
      <c r="A56" s="72" t="s">
        <v>324</v>
      </c>
    </row>
    <row r="57" spans="1:10" x14ac:dyDescent="0.25">
      <c r="A57" s="73" t="s">
        <v>300</v>
      </c>
    </row>
    <row r="58" spans="1:10" x14ac:dyDescent="0.25">
      <c r="A58" s="73" t="s">
        <v>301</v>
      </c>
      <c r="I58" s="79"/>
      <c r="J58" s="80"/>
    </row>
    <row r="59" spans="1:10" x14ac:dyDescent="0.25">
      <c r="A59" s="73" t="s">
        <v>302</v>
      </c>
    </row>
    <row r="60" spans="1:10" x14ac:dyDescent="0.25">
      <c r="A60" s="73" t="s">
        <v>303</v>
      </c>
    </row>
    <row r="61" spans="1:10" x14ac:dyDescent="0.25">
      <c r="A61" s="74"/>
    </row>
    <row r="62" spans="1:10" x14ac:dyDescent="0.25">
      <c r="A62" s="72" t="s">
        <v>325</v>
      </c>
    </row>
    <row r="63" spans="1:10" x14ac:dyDescent="0.25">
      <c r="A63" s="73" t="s">
        <v>304</v>
      </c>
    </row>
    <row r="64" spans="1:10" x14ac:dyDescent="0.25">
      <c r="A64" s="73" t="s">
        <v>305</v>
      </c>
    </row>
    <row r="65" spans="1:9" x14ac:dyDescent="0.25">
      <c r="A65" s="73" t="s">
        <v>306</v>
      </c>
      <c r="I65" s="78"/>
    </row>
    <row r="66" spans="1:9" x14ac:dyDescent="0.25">
      <c r="A66" s="73" t="s">
        <v>274</v>
      </c>
    </row>
    <row r="67" spans="1:9" x14ac:dyDescent="0.25">
      <c r="A67" s="73" t="s">
        <v>307</v>
      </c>
    </row>
    <row r="68" spans="1:9" x14ac:dyDescent="0.25">
      <c r="A68" s="71"/>
    </row>
    <row r="69" spans="1:9" x14ac:dyDescent="0.25">
      <c r="A69" s="72" t="s">
        <v>326</v>
      </c>
    </row>
    <row r="70" spans="1:9" x14ac:dyDescent="0.25">
      <c r="A70" s="74" t="s">
        <v>308</v>
      </c>
    </row>
    <row r="71" spans="1:9" x14ac:dyDescent="0.25">
      <c r="A71" s="74" t="s">
        <v>309</v>
      </c>
    </row>
    <row r="72" spans="1:9" x14ac:dyDescent="0.25">
      <c r="A72" s="74" t="s">
        <v>310</v>
      </c>
      <c r="I72" s="78"/>
    </row>
    <row r="73" spans="1:9" x14ac:dyDescent="0.25">
      <c r="A73" s="74" t="s">
        <v>311</v>
      </c>
    </row>
    <row r="74" spans="1:9" x14ac:dyDescent="0.25">
      <c r="A74" s="74" t="s">
        <v>312</v>
      </c>
    </row>
    <row r="75" spans="1:9" x14ac:dyDescent="0.25">
      <c r="A75" s="7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Details</vt:lpstr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Q11</vt:lpstr>
      <vt:lpstr>logical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Hardik</dc:creator>
  <cp:lastModifiedBy>Deep Chandra Joshi</cp:lastModifiedBy>
  <dcterms:created xsi:type="dcterms:W3CDTF">2014-02-19T06:54:25Z</dcterms:created>
  <dcterms:modified xsi:type="dcterms:W3CDTF">2026-05-19T09:31:51Z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0a935dec-2835-42bf-abab-1a6ad651908a</vt:lpwstr>
  </property>
</Properties>
</file>