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MIS AUG 2026\MIS\Excel\MIS TEST Excel\"/>
    </mc:Choice>
  </mc:AlternateContent>
  <xr:revisionPtr revIDLastSave="0" documentId="13_ncr:1_{B5D63594-E2E7-41A2-8086-81C57F1AFA84}" xr6:coauthVersionLast="47" xr6:coauthVersionMax="47" xr10:uidLastSave="{00000000-0000-0000-0000-000000000000}"/>
  <bookViews>
    <workbookView xWindow="-120" yWindow="-120" windowWidth="20730" windowHeight="11160" activeTab="6" xr2:uid="{00000000-000D-0000-FFFF-FFFF00000000}"/>
  </bookViews>
  <sheets>
    <sheet name="Ques" sheetId="3" r:id="rId1"/>
    <sheet name="Q1" sheetId="9" r:id="rId2"/>
    <sheet name="Q2" sheetId="10" r:id="rId3"/>
    <sheet name="Q3" sheetId="11" r:id="rId4"/>
    <sheet name="Q4" sheetId="7" r:id="rId5"/>
    <sheet name="Sheet2" sheetId="12" r:id="rId6"/>
    <sheet name="Raw Data" sheetId="1" r:id="rId7"/>
    <sheet name="Sheet1" sheetId="8" state="hidden" r:id="rId8"/>
  </sheets>
  <definedNames>
    <definedName name="_xlnm._FilterDatabase" localSheetId="6" hidden="1">'Raw Data'!$A$1:$H$41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7" i="3" l="1"/>
  <c r="C7" i="3"/>
</calcChain>
</file>

<file path=xl/sharedStrings.xml><?xml version="1.0" encoding="utf-8"?>
<sst xmlns="http://schemas.openxmlformats.org/spreadsheetml/2006/main" count="172" uniqueCount="43">
  <si>
    <t>Name</t>
  </si>
  <si>
    <t>Date</t>
  </si>
  <si>
    <t>Process</t>
  </si>
  <si>
    <t>Time Taken</t>
  </si>
  <si>
    <t>Activity Name</t>
  </si>
  <si>
    <t>Dinesh Kumar</t>
  </si>
  <si>
    <t>Collection</t>
  </si>
  <si>
    <t>Mohit</t>
  </si>
  <si>
    <t>Booking</t>
  </si>
  <si>
    <t>Narendra</t>
  </si>
  <si>
    <t>Cancellation</t>
  </si>
  <si>
    <t>Cash Allocation</t>
  </si>
  <si>
    <t>Rajesh Kumar</t>
  </si>
  <si>
    <t>Endorsment</t>
  </si>
  <si>
    <t>Renewal</t>
  </si>
  <si>
    <t>Doc Issue</t>
  </si>
  <si>
    <t>Prepare a Pivot  as per data</t>
  </si>
  <si>
    <t>CC Team</t>
  </si>
  <si>
    <t>Booking Team</t>
  </si>
  <si>
    <t>Prepare a pivot (as per screenshot below)</t>
  </si>
  <si>
    <t>Total Time</t>
  </si>
  <si>
    <t>By using formulla, calculate the total time taken by given users on the given date.</t>
  </si>
  <si>
    <t>Question 3</t>
  </si>
  <si>
    <t>Question 4</t>
  </si>
  <si>
    <t>By using vlookup, return the activity name against each user name</t>
  </si>
  <si>
    <t>Question</t>
  </si>
  <si>
    <t>Max Marks</t>
  </si>
  <si>
    <t>Score</t>
  </si>
  <si>
    <t>Q1</t>
  </si>
  <si>
    <t>Q2</t>
  </si>
  <si>
    <t>Q3</t>
  </si>
  <si>
    <t>Q4</t>
  </si>
  <si>
    <t>By using formula, calculate the total time taken by given users on the given date.</t>
  </si>
  <si>
    <t>Question 1</t>
  </si>
  <si>
    <t>Question 2</t>
  </si>
  <si>
    <t>Max Time Taken</t>
  </si>
  <si>
    <t xml:space="preserve">Total </t>
  </si>
  <si>
    <t xml:space="preserve">Note : </t>
  </si>
  <si>
    <t>Data is available in Raw Data sheet</t>
  </si>
  <si>
    <t>a) By using formula, find the maximum time taken for each activity on given date.
b) using conditional formatting, highlight the column C with red color if max time exceed 150.</t>
  </si>
  <si>
    <t>S No.</t>
  </si>
  <si>
    <t>Trn_Count</t>
  </si>
  <si>
    <t>Statndared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</si>
</sst>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4" fontId="0" fillId="2" borderId="1" xfId="0" applyNumberForma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5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</xdr:rowOff>
    </xdr:from>
    <xdr:to>
      <xdr:col>5</xdr:col>
      <xdr:colOff>489744</xdr:colOff>
      <xdr:row>20</xdr:row>
      <xdr:rowOff>81644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A9F844-BC6F-407E-B909-25FFEB2BC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5715"/>
          <a:ext cx="5560673" cy="298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zoomScale="87" zoomScaleNormal="87" workbookViewId="0">
      <selection activeCell="B4" sqref="B4"/>
    </sheetView>
  </sheetViews>
  <sheetFormatPr defaultRowHeight="15" x14ac:dyDescent="0.25"/>
  <cols>
    <col min="2" max="2" width="75.5703125" customWidth="1"/>
    <col min="3" max="3" width="10.28515625" customWidth="1"/>
  </cols>
  <sheetData>
    <row r="2" spans="1:4" x14ac:dyDescent="0.25">
      <c r="A2" s="8" t="s">
        <v>40</v>
      </c>
      <c r="B2" s="7" t="s">
        <v>25</v>
      </c>
      <c r="C2" s="7" t="s">
        <v>26</v>
      </c>
      <c r="D2" s="7" t="s">
        <v>27</v>
      </c>
    </row>
    <row r="3" spans="1:4" x14ac:dyDescent="0.25">
      <c r="A3" s="5" t="s">
        <v>28</v>
      </c>
      <c r="B3" s="2" t="s">
        <v>16</v>
      </c>
      <c r="C3" s="5">
        <v>1</v>
      </c>
      <c r="D3" s="2"/>
    </row>
    <row r="4" spans="1:4" x14ac:dyDescent="0.25">
      <c r="A4" s="5" t="s">
        <v>29</v>
      </c>
      <c r="B4" s="2" t="s">
        <v>21</v>
      </c>
      <c r="C4" s="5">
        <v>1</v>
      </c>
      <c r="D4" s="2"/>
    </row>
    <row r="5" spans="1:4" ht="28.9" customHeight="1" x14ac:dyDescent="0.25">
      <c r="A5" s="5" t="s">
        <v>30</v>
      </c>
      <c r="B5" s="6" t="s">
        <v>39</v>
      </c>
      <c r="C5" s="5">
        <v>2</v>
      </c>
      <c r="D5" s="2"/>
    </row>
    <row r="6" spans="1:4" x14ac:dyDescent="0.25">
      <c r="A6" s="5" t="s">
        <v>31</v>
      </c>
      <c r="B6" s="2" t="s">
        <v>24</v>
      </c>
      <c r="C6" s="5">
        <v>1</v>
      </c>
      <c r="D6" s="2"/>
    </row>
    <row r="7" spans="1:4" x14ac:dyDescent="0.25">
      <c r="B7" s="9" t="s">
        <v>36</v>
      </c>
      <c r="C7" s="10">
        <f>SUM(C3:C6)</f>
        <v>5</v>
      </c>
      <c r="D7" s="10">
        <f>SUM(D3:D6)</f>
        <v>0</v>
      </c>
    </row>
    <row r="10" spans="1:4" x14ac:dyDescent="0.25">
      <c r="A10" t="s">
        <v>37</v>
      </c>
      <c r="B10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58F0-E7FB-41D3-BC92-2785DBA97824}">
  <dimension ref="A2:B2"/>
  <sheetViews>
    <sheetView topLeftCell="A2" zoomScale="96" zoomScaleNormal="96" workbookViewId="0">
      <selection activeCell="A3" sqref="A3"/>
    </sheetView>
  </sheetViews>
  <sheetFormatPr defaultRowHeight="15" x14ac:dyDescent="0.25"/>
  <cols>
    <col min="1" max="1" width="9.7109375" bestFit="1" customWidth="1"/>
    <col min="2" max="2" width="36.7109375" customWidth="1"/>
    <col min="8" max="9" width="17.140625" bestFit="1" customWidth="1"/>
    <col min="10" max="10" width="8.85546875" bestFit="1" customWidth="1"/>
    <col min="11" max="11" width="17.140625" bestFit="1" customWidth="1"/>
    <col min="12" max="12" width="22.5703125" bestFit="1" customWidth="1"/>
    <col min="13" max="13" width="18" bestFit="1" customWidth="1"/>
  </cols>
  <sheetData>
    <row r="2" spans="1:2" x14ac:dyDescent="0.25">
      <c r="A2" t="s">
        <v>33</v>
      </c>
      <c r="B2" t="s">
        <v>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C397-9446-482B-BB88-5A4D74F7B128}">
  <dimension ref="A1:K7"/>
  <sheetViews>
    <sheetView workbookViewId="0">
      <selection activeCell="E4" sqref="E4"/>
    </sheetView>
  </sheetViews>
  <sheetFormatPr defaultRowHeight="15" x14ac:dyDescent="0.25"/>
  <cols>
    <col min="1" max="1" width="12.42578125" bestFit="1" customWidth="1"/>
    <col min="2" max="2" width="8.42578125" bestFit="1" customWidth="1"/>
    <col min="3" max="3" width="11.7109375" customWidth="1"/>
  </cols>
  <sheetData>
    <row r="1" spans="1:11" x14ac:dyDescent="0.25">
      <c r="A1" t="s">
        <v>34</v>
      </c>
      <c r="B1" s="12" t="s">
        <v>32</v>
      </c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7" t="s">
        <v>0</v>
      </c>
      <c r="B3" s="11" t="s">
        <v>1</v>
      </c>
      <c r="C3" s="7" t="s">
        <v>20</v>
      </c>
    </row>
    <row r="4" spans="1:11" x14ac:dyDescent="0.25">
      <c r="A4" s="2" t="s">
        <v>5</v>
      </c>
      <c r="B4" s="3">
        <v>43101</v>
      </c>
      <c r="C4" s="2"/>
    </row>
    <row r="5" spans="1:11" x14ac:dyDescent="0.25">
      <c r="A5" s="2" t="s">
        <v>7</v>
      </c>
      <c r="B5" s="3">
        <v>43101</v>
      </c>
      <c r="C5" s="2"/>
    </row>
    <row r="6" spans="1:11" x14ac:dyDescent="0.25">
      <c r="A6" s="2" t="s">
        <v>9</v>
      </c>
      <c r="B6" s="3">
        <v>43102</v>
      </c>
      <c r="C6" s="2"/>
    </row>
    <row r="7" spans="1:11" x14ac:dyDescent="0.25">
      <c r="A7" s="2" t="s">
        <v>12</v>
      </c>
      <c r="B7" s="3">
        <v>43103</v>
      </c>
      <c r="C7" s="2"/>
    </row>
  </sheetData>
  <mergeCells count="1">
    <mergeCell ref="B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F731-7DBF-409F-AC05-018634681900}">
  <dimension ref="A1:H10"/>
  <sheetViews>
    <sheetView topLeftCell="A4" workbookViewId="0">
      <selection activeCell="G7" sqref="G7"/>
    </sheetView>
  </sheetViews>
  <sheetFormatPr defaultRowHeight="15" x14ac:dyDescent="0.25"/>
  <cols>
    <col min="1" max="1" width="15.28515625" customWidth="1"/>
    <col min="2" max="2" width="10.7109375" customWidth="1"/>
    <col min="3" max="3" width="14.7109375" customWidth="1"/>
    <col min="8" max="8" width="17.85546875" customWidth="1"/>
  </cols>
  <sheetData>
    <row r="1" spans="1:8" ht="31.15" customHeight="1" x14ac:dyDescent="0.25">
      <c r="A1" s="4" t="s">
        <v>22</v>
      </c>
      <c r="B1" s="13" t="s">
        <v>39</v>
      </c>
      <c r="C1" s="13"/>
      <c r="D1" s="13"/>
      <c r="E1" s="13"/>
      <c r="F1" s="13"/>
      <c r="G1" s="13"/>
      <c r="H1" s="13"/>
    </row>
    <row r="4" spans="1:8" x14ac:dyDescent="0.25">
      <c r="A4" s="7" t="s">
        <v>4</v>
      </c>
      <c r="B4" s="11" t="s">
        <v>1</v>
      </c>
      <c r="C4" s="7" t="s">
        <v>35</v>
      </c>
    </row>
    <row r="5" spans="1:8" x14ac:dyDescent="0.25">
      <c r="A5" s="2" t="s">
        <v>8</v>
      </c>
      <c r="B5" s="3">
        <v>43101</v>
      </c>
      <c r="C5" s="1"/>
    </row>
    <row r="6" spans="1:8" x14ac:dyDescent="0.25">
      <c r="A6" s="2" t="s">
        <v>10</v>
      </c>
      <c r="B6" s="3">
        <v>43101</v>
      </c>
      <c r="C6" s="1"/>
    </row>
    <row r="7" spans="1:8" x14ac:dyDescent="0.25">
      <c r="A7" s="2" t="s">
        <v>11</v>
      </c>
      <c r="B7" s="3">
        <v>43101</v>
      </c>
      <c r="C7" s="1"/>
    </row>
    <row r="8" spans="1:8" x14ac:dyDescent="0.25">
      <c r="A8" s="2" t="s">
        <v>13</v>
      </c>
      <c r="B8" s="3">
        <v>43102</v>
      </c>
      <c r="C8" s="1"/>
    </row>
    <row r="9" spans="1:8" x14ac:dyDescent="0.25">
      <c r="A9" s="2" t="s">
        <v>14</v>
      </c>
      <c r="B9" s="3">
        <v>43103</v>
      </c>
      <c r="C9" s="1"/>
    </row>
    <row r="10" spans="1:8" x14ac:dyDescent="0.25">
      <c r="A10" s="2" t="s">
        <v>15</v>
      </c>
      <c r="B10" s="3">
        <v>43103</v>
      </c>
      <c r="C10" s="1"/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C4" sqref="C4"/>
    </sheetView>
  </sheetViews>
  <sheetFormatPr defaultRowHeight="15" x14ac:dyDescent="0.25"/>
  <cols>
    <col min="1" max="1" width="16" customWidth="1"/>
    <col min="2" max="2" width="15.7109375" customWidth="1"/>
  </cols>
  <sheetData>
    <row r="1" spans="1:7" x14ac:dyDescent="0.25">
      <c r="A1" t="s">
        <v>23</v>
      </c>
      <c r="B1" s="12" t="s">
        <v>24</v>
      </c>
      <c r="C1" s="12"/>
      <c r="D1" s="12"/>
      <c r="E1" s="12"/>
      <c r="F1" s="12"/>
      <c r="G1" s="12"/>
    </row>
    <row r="3" spans="1:7" x14ac:dyDescent="0.25">
      <c r="A3" s="7" t="s">
        <v>0</v>
      </c>
      <c r="B3" s="7" t="s">
        <v>4</v>
      </c>
    </row>
    <row r="4" spans="1:7" x14ac:dyDescent="0.25">
      <c r="A4" s="2" t="s">
        <v>5</v>
      </c>
      <c r="B4" s="2"/>
    </row>
    <row r="5" spans="1:7" x14ac:dyDescent="0.25">
      <c r="A5" s="2" t="s">
        <v>7</v>
      </c>
      <c r="B5" s="2"/>
    </row>
    <row r="6" spans="1:7" x14ac:dyDescent="0.25">
      <c r="A6" s="2" t="s">
        <v>9</v>
      </c>
      <c r="B6" s="2"/>
    </row>
    <row r="7" spans="1:7" x14ac:dyDescent="0.25">
      <c r="A7" s="2" t="s">
        <v>12</v>
      </c>
      <c r="B7" s="2"/>
    </row>
  </sheetData>
  <mergeCells count="1"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1B66-15C5-4351-A7E4-CD5C12F4B709}">
  <dimension ref="A1"/>
  <sheetViews>
    <sheetView workbookViewId="0"/>
  </sheetViews>
  <sheetFormatPr defaultRowHeight="15" x14ac:dyDescent="0.25"/>
  <cols>
    <col min="1" max="1" width="12.140625" bestFit="1" customWidth="1"/>
    <col min="2" max="2" width="13.5703125" bestFit="1" customWidth="1"/>
    <col min="3" max="3" width="8.5703125" bestFit="1" customWidth="1"/>
    <col min="4" max="4" width="16.42578125" bestFit="1" customWidth="1"/>
    <col min="5" max="5" width="21.7109375" bestFit="1" customWidth="1"/>
    <col min="6" max="6" width="17.28515625" bestFit="1" customWidth="1"/>
    <col min="7" max="10" width="21.7109375" bestFit="1" customWidth="1"/>
    <col min="11" max="11" width="21.28515625" bestFit="1" customWidth="1"/>
    <col min="12" max="12" width="26.42578125" bestFit="1" customWidth="1"/>
    <col min="13" max="13" width="22.14062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abSelected="1" workbookViewId="0">
      <selection activeCell="G11" sqref="A1:G41"/>
    </sheetView>
  </sheetViews>
  <sheetFormatPr defaultColWidth="19.5703125" defaultRowHeight="15" x14ac:dyDescent="0.25"/>
  <cols>
    <col min="1" max="1" width="13.42578125" bestFit="1" customWidth="1"/>
    <col min="2" max="2" width="8.7109375" bestFit="1" customWidth="1"/>
    <col min="3" max="3" width="13.5703125" bestFit="1" customWidth="1"/>
    <col min="4" max="4" width="14.7109375" bestFit="1" customWidth="1"/>
    <col min="5" max="5" width="11.140625" bestFit="1" customWidth="1"/>
    <col min="6" max="6" width="10.140625" bestFit="1" customWidth="1"/>
    <col min="7" max="8" width="15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41</v>
      </c>
      <c r="G1" s="2" t="s">
        <v>42</v>
      </c>
    </row>
    <row r="2" spans="1:7" x14ac:dyDescent="0.25">
      <c r="A2" s="2" t="s">
        <v>5</v>
      </c>
      <c r="B2" s="3">
        <v>43101</v>
      </c>
      <c r="C2" s="2" t="s">
        <v>17</v>
      </c>
      <c r="D2" s="2" t="s">
        <v>6</v>
      </c>
      <c r="E2" s="2">
        <v>172</v>
      </c>
      <c r="F2" s="2">
        <v>14</v>
      </c>
      <c r="G2" s="2">
        <f t="shared" ref="G2:G41" si="0">E2*F2</f>
        <v>2408</v>
      </c>
    </row>
    <row r="3" spans="1:7" x14ac:dyDescent="0.25">
      <c r="A3" s="2" t="s">
        <v>5</v>
      </c>
      <c r="B3" s="3">
        <v>43101</v>
      </c>
      <c r="C3" s="2" t="s">
        <v>17</v>
      </c>
      <c r="D3" s="2" t="s">
        <v>6</v>
      </c>
      <c r="E3" s="2">
        <v>38</v>
      </c>
      <c r="F3" s="2">
        <v>4</v>
      </c>
      <c r="G3" s="2">
        <f t="shared" si="0"/>
        <v>152</v>
      </c>
    </row>
    <row r="4" spans="1:7" x14ac:dyDescent="0.25">
      <c r="A4" s="2" t="s">
        <v>5</v>
      </c>
      <c r="B4" s="3">
        <v>43101</v>
      </c>
      <c r="C4" s="2" t="s">
        <v>17</v>
      </c>
      <c r="D4" s="2" t="s">
        <v>6</v>
      </c>
      <c r="E4" s="2">
        <v>92</v>
      </c>
      <c r="F4" s="2">
        <v>8</v>
      </c>
      <c r="G4" s="2">
        <f t="shared" si="0"/>
        <v>736</v>
      </c>
    </row>
    <row r="5" spans="1:7" x14ac:dyDescent="0.25">
      <c r="A5" s="2" t="s">
        <v>5</v>
      </c>
      <c r="B5" s="3">
        <v>43101</v>
      </c>
      <c r="C5" s="2" t="s">
        <v>17</v>
      </c>
      <c r="D5" s="2" t="s">
        <v>6</v>
      </c>
      <c r="E5" s="2">
        <v>127</v>
      </c>
      <c r="F5" s="2">
        <v>10</v>
      </c>
      <c r="G5" s="2">
        <f t="shared" si="0"/>
        <v>1270</v>
      </c>
    </row>
    <row r="6" spans="1:7" x14ac:dyDescent="0.25">
      <c r="A6" s="2" t="s">
        <v>5</v>
      </c>
      <c r="B6" s="3">
        <v>43101</v>
      </c>
      <c r="C6" s="2" t="s">
        <v>17</v>
      </c>
      <c r="D6" s="2" t="s">
        <v>6</v>
      </c>
      <c r="E6" s="2">
        <v>33</v>
      </c>
      <c r="F6" s="2">
        <v>2</v>
      </c>
      <c r="G6" s="2">
        <f t="shared" si="0"/>
        <v>66</v>
      </c>
    </row>
    <row r="7" spans="1:7" x14ac:dyDescent="0.25">
      <c r="A7" s="2" t="s">
        <v>7</v>
      </c>
      <c r="B7" s="3">
        <v>43101</v>
      </c>
      <c r="C7" s="2" t="s">
        <v>18</v>
      </c>
      <c r="D7" s="2" t="s">
        <v>8</v>
      </c>
      <c r="E7" s="2">
        <v>133</v>
      </c>
      <c r="F7" s="2">
        <v>11</v>
      </c>
      <c r="G7" s="2">
        <f t="shared" si="0"/>
        <v>1463</v>
      </c>
    </row>
    <row r="8" spans="1:7" x14ac:dyDescent="0.25">
      <c r="A8" s="2" t="s">
        <v>7</v>
      </c>
      <c r="B8" s="3">
        <v>43101</v>
      </c>
      <c r="C8" s="2" t="s">
        <v>18</v>
      </c>
      <c r="D8" s="2" t="s">
        <v>8</v>
      </c>
      <c r="E8" s="2">
        <v>194</v>
      </c>
      <c r="F8" s="2">
        <v>10</v>
      </c>
      <c r="G8" s="2">
        <f t="shared" si="0"/>
        <v>1940</v>
      </c>
    </row>
    <row r="9" spans="1:7" x14ac:dyDescent="0.25">
      <c r="A9" s="2" t="s">
        <v>7</v>
      </c>
      <c r="B9" s="3">
        <v>43101</v>
      </c>
      <c r="C9" s="2" t="s">
        <v>18</v>
      </c>
      <c r="D9" s="2" t="s">
        <v>8</v>
      </c>
      <c r="E9" s="2">
        <v>160</v>
      </c>
      <c r="F9" s="2">
        <v>11</v>
      </c>
      <c r="G9" s="2">
        <f t="shared" si="0"/>
        <v>1760</v>
      </c>
    </row>
    <row r="10" spans="1:7" x14ac:dyDescent="0.25">
      <c r="A10" s="2" t="s">
        <v>9</v>
      </c>
      <c r="B10" s="3">
        <v>43101</v>
      </c>
      <c r="C10" s="2" t="s">
        <v>17</v>
      </c>
      <c r="D10" s="2" t="s">
        <v>10</v>
      </c>
      <c r="E10" s="2">
        <v>118</v>
      </c>
      <c r="F10" s="2">
        <v>9</v>
      </c>
      <c r="G10" s="2">
        <f t="shared" si="0"/>
        <v>1062</v>
      </c>
    </row>
    <row r="11" spans="1:7" x14ac:dyDescent="0.25">
      <c r="A11" s="2" t="s">
        <v>9</v>
      </c>
      <c r="B11" s="3">
        <v>43101</v>
      </c>
      <c r="C11" s="2" t="s">
        <v>17</v>
      </c>
      <c r="D11" s="2" t="s">
        <v>11</v>
      </c>
      <c r="E11" s="2">
        <v>120</v>
      </c>
      <c r="F11" s="2">
        <v>15</v>
      </c>
      <c r="G11" s="2">
        <f t="shared" si="0"/>
        <v>1800</v>
      </c>
    </row>
    <row r="12" spans="1:7" x14ac:dyDescent="0.25">
      <c r="A12" s="2" t="s">
        <v>12</v>
      </c>
      <c r="B12" s="3">
        <v>43101</v>
      </c>
      <c r="C12" s="2" t="s">
        <v>18</v>
      </c>
      <c r="D12" s="2" t="s">
        <v>8</v>
      </c>
      <c r="E12" s="2">
        <v>57</v>
      </c>
      <c r="F12" s="2">
        <v>4</v>
      </c>
      <c r="G12" s="2">
        <f t="shared" si="0"/>
        <v>228</v>
      </c>
    </row>
    <row r="13" spans="1:7" x14ac:dyDescent="0.25">
      <c r="A13" s="2" t="s">
        <v>12</v>
      </c>
      <c r="B13" s="3">
        <v>43101</v>
      </c>
      <c r="C13" s="2" t="s">
        <v>18</v>
      </c>
      <c r="D13" s="2" t="s">
        <v>13</v>
      </c>
      <c r="E13" s="2">
        <v>48</v>
      </c>
      <c r="F13" s="2">
        <v>6</v>
      </c>
      <c r="G13" s="2">
        <f t="shared" si="0"/>
        <v>288</v>
      </c>
    </row>
    <row r="14" spans="1:7" x14ac:dyDescent="0.25">
      <c r="A14" s="2" t="s">
        <v>12</v>
      </c>
      <c r="B14" s="3">
        <v>43101</v>
      </c>
      <c r="C14" s="2" t="s">
        <v>18</v>
      </c>
      <c r="D14" s="2" t="s">
        <v>8</v>
      </c>
      <c r="E14" s="2">
        <v>36</v>
      </c>
      <c r="F14" s="2">
        <v>5</v>
      </c>
      <c r="G14" s="2">
        <f t="shared" si="0"/>
        <v>180</v>
      </c>
    </row>
    <row r="15" spans="1:7" x14ac:dyDescent="0.25">
      <c r="A15" s="2" t="s">
        <v>12</v>
      </c>
      <c r="B15" s="3">
        <v>43101</v>
      </c>
      <c r="C15" s="2" t="s">
        <v>18</v>
      </c>
      <c r="D15" s="2" t="s">
        <v>8</v>
      </c>
      <c r="E15" s="2">
        <v>143</v>
      </c>
      <c r="F15" s="2">
        <v>23</v>
      </c>
      <c r="G15" s="2">
        <f t="shared" si="0"/>
        <v>3289</v>
      </c>
    </row>
    <row r="16" spans="1:7" x14ac:dyDescent="0.25">
      <c r="A16" s="2" t="s">
        <v>12</v>
      </c>
      <c r="B16" s="3">
        <v>43101</v>
      </c>
      <c r="C16" s="2" t="s">
        <v>18</v>
      </c>
      <c r="D16" s="2" t="s">
        <v>8</v>
      </c>
      <c r="E16" s="2">
        <v>83</v>
      </c>
      <c r="F16" s="2">
        <v>2</v>
      </c>
      <c r="G16" s="2">
        <f t="shared" si="0"/>
        <v>166</v>
      </c>
    </row>
    <row r="17" spans="1:7" x14ac:dyDescent="0.25">
      <c r="A17" s="2" t="s">
        <v>5</v>
      </c>
      <c r="B17" s="14">
        <v>43102</v>
      </c>
      <c r="C17" s="2" t="s">
        <v>17</v>
      </c>
      <c r="D17" s="2" t="s">
        <v>11</v>
      </c>
      <c r="E17" s="2">
        <v>111</v>
      </c>
      <c r="F17" s="2">
        <v>8</v>
      </c>
      <c r="G17" s="2">
        <f t="shared" si="0"/>
        <v>888</v>
      </c>
    </row>
    <row r="18" spans="1:7" x14ac:dyDescent="0.25">
      <c r="A18" s="2" t="s">
        <v>5</v>
      </c>
      <c r="B18" s="14">
        <v>43102</v>
      </c>
      <c r="C18" s="2" t="s">
        <v>17</v>
      </c>
      <c r="D18" s="2" t="s">
        <v>11</v>
      </c>
      <c r="E18" s="2">
        <v>101</v>
      </c>
      <c r="F18" s="2">
        <v>12</v>
      </c>
      <c r="G18" s="2">
        <f t="shared" si="0"/>
        <v>1212</v>
      </c>
    </row>
    <row r="19" spans="1:7" x14ac:dyDescent="0.25">
      <c r="A19" s="2" t="s">
        <v>5</v>
      </c>
      <c r="B19" s="14">
        <v>43102</v>
      </c>
      <c r="C19" s="2" t="s">
        <v>17</v>
      </c>
      <c r="D19" s="2" t="s">
        <v>11</v>
      </c>
      <c r="E19" s="2">
        <v>165</v>
      </c>
      <c r="F19" s="2">
        <v>11</v>
      </c>
      <c r="G19" s="2">
        <f t="shared" si="0"/>
        <v>1815</v>
      </c>
    </row>
    <row r="20" spans="1:7" x14ac:dyDescent="0.25">
      <c r="A20" s="2" t="s">
        <v>9</v>
      </c>
      <c r="B20" s="14">
        <v>43102</v>
      </c>
      <c r="C20" s="2" t="s">
        <v>17</v>
      </c>
      <c r="D20" s="2" t="s">
        <v>11</v>
      </c>
      <c r="E20" s="2">
        <v>149</v>
      </c>
      <c r="F20" s="2">
        <v>8</v>
      </c>
      <c r="G20" s="2">
        <f t="shared" si="0"/>
        <v>1192</v>
      </c>
    </row>
    <row r="21" spans="1:7" x14ac:dyDescent="0.25">
      <c r="A21" s="2" t="s">
        <v>9</v>
      </c>
      <c r="B21" s="14">
        <v>43102</v>
      </c>
      <c r="C21" s="2" t="s">
        <v>17</v>
      </c>
      <c r="D21" s="2" t="s">
        <v>10</v>
      </c>
      <c r="E21" s="2">
        <v>32</v>
      </c>
      <c r="F21" s="2">
        <v>4</v>
      </c>
      <c r="G21" s="2">
        <f t="shared" si="0"/>
        <v>128</v>
      </c>
    </row>
    <row r="22" spans="1:7" x14ac:dyDescent="0.25">
      <c r="A22" s="2" t="s">
        <v>9</v>
      </c>
      <c r="B22" s="14">
        <v>43102</v>
      </c>
      <c r="C22" s="2" t="s">
        <v>17</v>
      </c>
      <c r="D22" s="2" t="s">
        <v>11</v>
      </c>
      <c r="E22" s="2">
        <v>199</v>
      </c>
      <c r="F22" s="2">
        <v>10</v>
      </c>
      <c r="G22" s="2">
        <f t="shared" si="0"/>
        <v>1990</v>
      </c>
    </row>
    <row r="23" spans="1:7" x14ac:dyDescent="0.25">
      <c r="A23" s="2" t="s">
        <v>7</v>
      </c>
      <c r="B23" s="14">
        <v>43102</v>
      </c>
      <c r="C23" s="2" t="s">
        <v>18</v>
      </c>
      <c r="D23" s="2" t="s">
        <v>14</v>
      </c>
      <c r="E23" s="2">
        <v>126</v>
      </c>
      <c r="F23" s="2">
        <v>12</v>
      </c>
      <c r="G23" s="2">
        <f t="shared" si="0"/>
        <v>1512</v>
      </c>
    </row>
    <row r="24" spans="1:7" x14ac:dyDescent="0.25">
      <c r="A24" s="2" t="s">
        <v>7</v>
      </c>
      <c r="B24" s="14">
        <v>43102</v>
      </c>
      <c r="C24" s="2" t="s">
        <v>18</v>
      </c>
      <c r="D24" s="2" t="s">
        <v>14</v>
      </c>
      <c r="E24" s="2">
        <v>30</v>
      </c>
      <c r="F24" s="2">
        <v>5</v>
      </c>
      <c r="G24" s="2">
        <f t="shared" si="0"/>
        <v>150</v>
      </c>
    </row>
    <row r="25" spans="1:7" x14ac:dyDescent="0.25">
      <c r="A25" s="2" t="s">
        <v>7</v>
      </c>
      <c r="B25" s="14">
        <v>43102</v>
      </c>
      <c r="C25" s="2" t="s">
        <v>18</v>
      </c>
      <c r="D25" s="2" t="s">
        <v>8</v>
      </c>
      <c r="E25" s="2">
        <v>149</v>
      </c>
      <c r="F25" s="2">
        <v>8</v>
      </c>
      <c r="G25" s="2">
        <f t="shared" si="0"/>
        <v>1192</v>
      </c>
    </row>
    <row r="26" spans="1:7" x14ac:dyDescent="0.25">
      <c r="A26" s="2" t="s">
        <v>7</v>
      </c>
      <c r="B26" s="14">
        <v>43102</v>
      </c>
      <c r="C26" s="2" t="s">
        <v>18</v>
      </c>
      <c r="D26" s="2" t="s">
        <v>15</v>
      </c>
      <c r="E26" s="2">
        <v>134</v>
      </c>
      <c r="F26" s="2">
        <v>7</v>
      </c>
      <c r="G26" s="2">
        <f t="shared" si="0"/>
        <v>938</v>
      </c>
    </row>
    <row r="27" spans="1:7" x14ac:dyDescent="0.25">
      <c r="A27" s="2" t="s">
        <v>7</v>
      </c>
      <c r="B27" s="14">
        <v>43102</v>
      </c>
      <c r="C27" s="2" t="s">
        <v>18</v>
      </c>
      <c r="D27" s="2" t="s">
        <v>14</v>
      </c>
      <c r="E27" s="2">
        <v>73</v>
      </c>
      <c r="F27" s="2">
        <v>12</v>
      </c>
      <c r="G27" s="2">
        <f t="shared" si="0"/>
        <v>876</v>
      </c>
    </row>
    <row r="28" spans="1:7" x14ac:dyDescent="0.25">
      <c r="A28" s="2" t="s">
        <v>7</v>
      </c>
      <c r="B28" s="14">
        <v>43102</v>
      </c>
      <c r="C28" s="2" t="s">
        <v>18</v>
      </c>
      <c r="D28" s="2" t="s">
        <v>14</v>
      </c>
      <c r="E28" s="2">
        <v>29</v>
      </c>
      <c r="F28" s="2">
        <v>3</v>
      </c>
      <c r="G28" s="2">
        <f t="shared" si="0"/>
        <v>87</v>
      </c>
    </row>
    <row r="29" spans="1:7" x14ac:dyDescent="0.25">
      <c r="A29" s="2" t="s">
        <v>12</v>
      </c>
      <c r="B29" s="14">
        <v>43102</v>
      </c>
      <c r="C29" s="2" t="s">
        <v>18</v>
      </c>
      <c r="D29" s="2" t="s">
        <v>14</v>
      </c>
      <c r="E29" s="2">
        <v>183</v>
      </c>
      <c r="F29" s="2">
        <v>18</v>
      </c>
      <c r="G29" s="2">
        <f t="shared" si="0"/>
        <v>3294</v>
      </c>
    </row>
    <row r="30" spans="1:7" x14ac:dyDescent="0.25">
      <c r="A30" s="2" t="s">
        <v>12</v>
      </c>
      <c r="B30" s="14">
        <v>43102</v>
      </c>
      <c r="C30" s="2" t="s">
        <v>18</v>
      </c>
      <c r="D30" s="2" t="s">
        <v>14</v>
      </c>
      <c r="E30" s="2">
        <v>95</v>
      </c>
      <c r="F30" s="2">
        <v>9</v>
      </c>
      <c r="G30" s="2">
        <f t="shared" si="0"/>
        <v>855</v>
      </c>
    </row>
    <row r="31" spans="1:7" x14ac:dyDescent="0.25">
      <c r="A31" s="2" t="s">
        <v>12</v>
      </c>
      <c r="B31" s="14">
        <v>43102</v>
      </c>
      <c r="C31" s="2" t="s">
        <v>18</v>
      </c>
      <c r="D31" s="2" t="s">
        <v>14</v>
      </c>
      <c r="E31" s="2">
        <v>31</v>
      </c>
      <c r="F31" s="2">
        <v>4</v>
      </c>
      <c r="G31" s="2">
        <f t="shared" si="0"/>
        <v>124</v>
      </c>
    </row>
    <row r="32" spans="1:7" x14ac:dyDescent="0.25">
      <c r="A32" s="2" t="s">
        <v>12</v>
      </c>
      <c r="B32" s="14">
        <v>43102</v>
      </c>
      <c r="C32" s="2" t="s">
        <v>18</v>
      </c>
      <c r="D32" s="2" t="s">
        <v>13</v>
      </c>
      <c r="E32" s="2">
        <v>39</v>
      </c>
      <c r="F32" s="2">
        <v>2</v>
      </c>
      <c r="G32" s="2">
        <f t="shared" si="0"/>
        <v>78</v>
      </c>
    </row>
    <row r="33" spans="1:7" x14ac:dyDescent="0.25">
      <c r="A33" s="2" t="s">
        <v>12</v>
      </c>
      <c r="B33" s="14">
        <v>43102</v>
      </c>
      <c r="C33" s="2" t="s">
        <v>18</v>
      </c>
      <c r="D33" s="2" t="s">
        <v>8</v>
      </c>
      <c r="E33" s="2">
        <v>42</v>
      </c>
      <c r="F33" s="2">
        <v>7</v>
      </c>
      <c r="G33" s="2">
        <f t="shared" si="0"/>
        <v>294</v>
      </c>
    </row>
    <row r="34" spans="1:7" x14ac:dyDescent="0.25">
      <c r="A34" s="2" t="s">
        <v>5</v>
      </c>
      <c r="B34" s="14">
        <v>43103</v>
      </c>
      <c r="C34" s="2" t="s">
        <v>17</v>
      </c>
      <c r="D34" s="2" t="s">
        <v>10</v>
      </c>
      <c r="E34" s="2">
        <v>138</v>
      </c>
      <c r="F34" s="2">
        <v>11</v>
      </c>
      <c r="G34" s="2">
        <f t="shared" si="0"/>
        <v>1518</v>
      </c>
    </row>
    <row r="35" spans="1:7" x14ac:dyDescent="0.25">
      <c r="A35" s="2" t="s">
        <v>7</v>
      </c>
      <c r="B35" s="14">
        <v>43103</v>
      </c>
      <c r="C35" s="2" t="s">
        <v>18</v>
      </c>
      <c r="D35" s="2" t="s">
        <v>14</v>
      </c>
      <c r="E35" s="2">
        <v>197</v>
      </c>
      <c r="F35" s="2">
        <v>16</v>
      </c>
      <c r="G35" s="2">
        <f t="shared" si="0"/>
        <v>3152</v>
      </c>
    </row>
    <row r="36" spans="1:7" x14ac:dyDescent="0.25">
      <c r="A36" s="2" t="s">
        <v>7</v>
      </c>
      <c r="B36" s="14">
        <v>43103</v>
      </c>
      <c r="C36" s="2" t="s">
        <v>18</v>
      </c>
      <c r="D36" s="2" t="s">
        <v>14</v>
      </c>
      <c r="E36" s="2">
        <v>98</v>
      </c>
      <c r="F36" s="2">
        <v>11</v>
      </c>
      <c r="G36" s="2">
        <f t="shared" si="0"/>
        <v>1078</v>
      </c>
    </row>
    <row r="37" spans="1:7" x14ac:dyDescent="0.25">
      <c r="A37" s="2" t="s">
        <v>12</v>
      </c>
      <c r="B37" s="14">
        <v>43103</v>
      </c>
      <c r="C37" s="2" t="s">
        <v>18</v>
      </c>
      <c r="D37" s="2" t="s">
        <v>15</v>
      </c>
      <c r="E37" s="2">
        <v>117</v>
      </c>
      <c r="F37" s="2">
        <v>9</v>
      </c>
      <c r="G37" s="2">
        <f t="shared" si="0"/>
        <v>1053</v>
      </c>
    </row>
    <row r="38" spans="1:7" x14ac:dyDescent="0.25">
      <c r="A38" s="2" t="s">
        <v>12</v>
      </c>
      <c r="B38" s="14">
        <v>43103</v>
      </c>
      <c r="C38" s="2" t="s">
        <v>18</v>
      </c>
      <c r="D38" s="2" t="s">
        <v>14</v>
      </c>
      <c r="E38" s="2">
        <v>80</v>
      </c>
      <c r="F38" s="2">
        <v>9</v>
      </c>
      <c r="G38" s="2">
        <f t="shared" si="0"/>
        <v>720</v>
      </c>
    </row>
    <row r="39" spans="1:7" x14ac:dyDescent="0.25">
      <c r="A39" s="2" t="s">
        <v>12</v>
      </c>
      <c r="B39" s="14">
        <v>43103</v>
      </c>
      <c r="C39" s="2" t="s">
        <v>18</v>
      </c>
      <c r="D39" s="2" t="s">
        <v>14</v>
      </c>
      <c r="E39" s="2">
        <v>121</v>
      </c>
      <c r="F39" s="2">
        <v>10</v>
      </c>
      <c r="G39" s="2">
        <f t="shared" si="0"/>
        <v>1210</v>
      </c>
    </row>
    <row r="40" spans="1:7" x14ac:dyDescent="0.25">
      <c r="A40" s="2" t="s">
        <v>9</v>
      </c>
      <c r="B40" s="14">
        <v>43103</v>
      </c>
      <c r="C40" s="2" t="s">
        <v>17</v>
      </c>
      <c r="D40" s="2" t="s">
        <v>11</v>
      </c>
      <c r="E40" s="2">
        <v>149</v>
      </c>
      <c r="F40" s="2">
        <v>8</v>
      </c>
      <c r="G40" s="2">
        <f t="shared" si="0"/>
        <v>1192</v>
      </c>
    </row>
    <row r="41" spans="1:7" x14ac:dyDescent="0.25">
      <c r="A41" s="2" t="s">
        <v>9</v>
      </c>
      <c r="B41" s="14">
        <v>43103</v>
      </c>
      <c r="C41" s="2" t="s">
        <v>17</v>
      </c>
      <c r="D41" s="2" t="s">
        <v>10</v>
      </c>
      <c r="E41" s="2">
        <v>32</v>
      </c>
      <c r="F41" s="2">
        <v>6</v>
      </c>
      <c r="G41" s="2">
        <f t="shared" si="0"/>
        <v>192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</vt:lpstr>
      <vt:lpstr>Q1</vt:lpstr>
      <vt:lpstr>Q2</vt:lpstr>
      <vt:lpstr>Q3</vt:lpstr>
      <vt:lpstr>Q4</vt:lpstr>
      <vt:lpstr>Sheet2</vt:lpstr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Uperti, Inderjeet</dc:creator>
  <cp:lastModifiedBy>Dell</cp:lastModifiedBy>
  <dcterms:created xsi:type="dcterms:W3CDTF">2019-07-02T09:40:50Z</dcterms:created>
  <dcterms:modified xsi:type="dcterms:W3CDTF">2026-08-30T09:52:54Z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