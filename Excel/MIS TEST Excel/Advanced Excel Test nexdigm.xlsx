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MIS AUG 2026\MIS\Excel\MIS TEST Excel\"/>
    </mc:Choice>
  </mc:AlternateContent>
  <xr:revisionPtr revIDLastSave="0" documentId="13_ncr:1_{0B473B8E-2D9A-4B42-894F-93BC8B5C010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est" sheetId="6" r:id="rId1"/>
    <sheet name="Result" sheetId="9" r:id="rId2"/>
  </sheets>
  <definedNames>
    <definedName name="_xlnm._FilterDatabase" localSheetId="0" hidden="1">Test!$A$12:$G$32</definedName>
    <definedName name="Partyname">Test!$B$13:$B$32</definedName>
    <definedName name="Print">Result!$A$1:$C$29</definedName>
  </definedNames>
  <calcPr calcId="181029"/>
</workbook>
</file>

<file path=xl/calcChain.xml><?xml version="1.0" encoding="utf-8"?>
<calcChain xmlns="http://schemas.openxmlformats.org/spreadsheetml/2006/main">
  <c r="B3" i="9" l="1"/>
  <c r="C29" i="9"/>
  <c r="C28" i="9"/>
  <c r="C27" i="9"/>
  <c r="C26" i="9"/>
  <c r="C25" i="9"/>
  <c r="C24" i="9"/>
  <c r="C22" i="9"/>
  <c r="C21" i="9"/>
  <c r="C20" i="9"/>
  <c r="C13" i="9"/>
  <c r="C12" i="9"/>
  <c r="C23" i="9"/>
  <c r="B7" i="9" l="1"/>
  <c r="C7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Mali, Pravin </author>
  </authors>
  <commentList>
    <comment ref="C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Mali, Pravin :</t>
        </r>
        <r>
          <rPr>
            <sz val="9"/>
            <color indexed="81"/>
            <rFont val="Tahoma"/>
            <family val="2"/>
          </rPr>
          <t xml:space="preserve">
Q1 and 2
Check the formula in Cell F7 and F8
</t>
        </r>
      </text>
    </comment>
    <comment ref="C1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Mali, Pravin : enter 5 marks in below condition fulfill</t>
        </r>
        <r>
          <rPr>
            <sz val="9"/>
            <color indexed="81"/>
            <rFont val="Tahoma"/>
            <family val="2"/>
          </rPr>
          <t xml:space="preserve">
Q3 -First and Last 5 rows should be highlighted in Red and
Click on the table&gt; Home&gt; Conditional formatting&gt;Manage rules&gt; Applied to shouldn’t be blank</t>
        </r>
      </text>
    </comment>
    <comment ref="C1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Mali, Pravin : enter 5 marks in below condition fulfill</t>
        </r>
        <r>
          <rPr>
            <sz val="9"/>
            <color indexed="81"/>
            <rFont val="Tahoma"/>
            <family val="2"/>
          </rPr>
          <t xml:space="preserve">
Q4 - Drop down list should be there in Answer cell</t>
        </r>
      </text>
    </comment>
  </commentList>
</comments>
</file>

<file path=xl/sharedStrings.xml><?xml version="1.0" encoding="utf-8"?>
<sst xmlns="http://schemas.openxmlformats.org/spreadsheetml/2006/main" count="238" uniqueCount="124">
  <si>
    <t>CITY</t>
  </si>
  <si>
    <t>Value</t>
  </si>
  <si>
    <t>Government</t>
  </si>
  <si>
    <t>Party Code</t>
  </si>
  <si>
    <t>Party Name</t>
  </si>
  <si>
    <t>State</t>
  </si>
  <si>
    <t>Region</t>
  </si>
  <si>
    <t>Party Type</t>
  </si>
  <si>
    <t>Yogikrupa Distributors</t>
  </si>
  <si>
    <t>Niyati Surgical</t>
  </si>
  <si>
    <t>Aswini Agencies</t>
  </si>
  <si>
    <t>Soni Surgicals</t>
  </si>
  <si>
    <t>Hruday Biomedics</t>
  </si>
  <si>
    <t>Krishna Inst Of Medical Sciences Lt</t>
  </si>
  <si>
    <t>Quality Care India Ltd</t>
  </si>
  <si>
    <t>Care Hospitals</t>
  </si>
  <si>
    <t>Teknosurg International</t>
  </si>
  <si>
    <t>Vilkhulife Sciences Pvt Ltd</t>
  </si>
  <si>
    <t>Shobhan Surgical Works</t>
  </si>
  <si>
    <t>Medico Surgical Corporation</t>
  </si>
  <si>
    <t>Curemed</t>
  </si>
  <si>
    <t>Sunrise Enterprises</t>
  </si>
  <si>
    <t>Family Farmac Pvt Ltd</t>
  </si>
  <si>
    <t>Oriental Surgical Works</t>
  </si>
  <si>
    <t>Metro Institutes Of Medical Science</t>
  </si>
  <si>
    <t>Baba Budha Sahib Surgical Works</t>
  </si>
  <si>
    <t>Metro Heart Institute</t>
  </si>
  <si>
    <t>Gujarat</t>
  </si>
  <si>
    <t>West</t>
  </si>
  <si>
    <t>Surat</t>
  </si>
  <si>
    <t>Maharashtra</t>
  </si>
  <si>
    <t>Mumbai</t>
  </si>
  <si>
    <t>South</t>
  </si>
  <si>
    <t>Bihar</t>
  </si>
  <si>
    <t>East</t>
  </si>
  <si>
    <t>Patna</t>
  </si>
  <si>
    <t>Andhra Pradesh</t>
  </si>
  <si>
    <t>Hyderabad</t>
  </si>
  <si>
    <t>Private</t>
  </si>
  <si>
    <t>Visakhapatnam</t>
  </si>
  <si>
    <t>Delhi</t>
  </si>
  <si>
    <t>North</t>
  </si>
  <si>
    <t>New Delhi</t>
  </si>
  <si>
    <t>Uttar Pradesh</t>
  </si>
  <si>
    <t>Noida</t>
  </si>
  <si>
    <t>Haryana</t>
  </si>
  <si>
    <t>Faridabad</t>
  </si>
  <si>
    <t>Logical Operators</t>
  </si>
  <si>
    <t>Arithmetic operators</t>
  </si>
  <si>
    <t>Relational operators</t>
  </si>
  <si>
    <t>None of the above</t>
  </si>
  <si>
    <t>Cell address will change when it is copied to another cell.</t>
  </si>
  <si>
    <t>The sheet tab is changed.</t>
  </si>
  <si>
    <t>The status bar does not display the cell address.</t>
  </si>
  <si>
    <t>NUM</t>
  </si>
  <si>
    <t>COUNTA</t>
  </si>
  <si>
    <t>COUNT</t>
  </si>
  <si>
    <t>.xls</t>
  </si>
  <si>
    <t>.xlsb</t>
  </si>
  <si>
    <t>.xlsm</t>
  </si>
  <si>
    <t>Cell Color</t>
  </si>
  <si>
    <t>Bold</t>
  </si>
  <si>
    <t>Italics</t>
  </si>
  <si>
    <t>Parentheses</t>
  </si>
  <si>
    <t>Quotes</t>
  </si>
  <si>
    <t>LENGHT</t>
  </si>
  <si>
    <t>LEN</t>
  </si>
  <si>
    <t>Which of the following you can paste selectively using Paste Special command?</t>
  </si>
  <si>
    <t>Cell address will not change when it is copied to another cell.</t>
  </si>
  <si>
    <t>Number</t>
  </si>
  <si>
    <t>Currency</t>
  </si>
  <si>
    <t>Alphabets</t>
  </si>
  <si>
    <t>Text</t>
  </si>
  <si>
    <t>What happens when dollar signs ($) are entered in a cell address? (eg. $B$2:$B$10)</t>
  </si>
  <si>
    <t>Which of the following is not the data format/type in excel?</t>
  </si>
  <si>
    <t>Which of the below is not excel file extension format?</t>
  </si>
  <si>
    <t>Section -1 Practical Questions (5 Marks Each)</t>
  </si>
  <si>
    <t>Section -2 MCQ Questions (1 Mark each)</t>
  </si>
  <si>
    <t>A</t>
  </si>
  <si>
    <t>B</t>
  </si>
  <si>
    <t>C</t>
  </si>
  <si>
    <t>D</t>
  </si>
  <si>
    <t>Karnataka</t>
  </si>
  <si>
    <t>Bangalore</t>
  </si>
  <si>
    <t>Care India Ltd.</t>
  </si>
  <si>
    <t>Pune</t>
  </si>
  <si>
    <t>Which function will you use to enter current date in a worksheet cell?</t>
  </si>
  <si>
    <t>Validation</t>
  </si>
  <si>
    <t>Formats</t>
  </si>
  <si>
    <t>All of above</t>
  </si>
  <si>
    <t>Comments</t>
  </si>
  <si>
    <t>Enter Your Answer</t>
  </si>
  <si>
    <t>Result</t>
  </si>
  <si>
    <t>Advance Excel Test</t>
  </si>
  <si>
    <t>Questions</t>
  </si>
  <si>
    <t>Que.No</t>
  </si>
  <si>
    <t>Final Result</t>
  </si>
  <si>
    <t>Marks</t>
  </si>
  <si>
    <t>Percentage</t>
  </si>
  <si>
    <t>Derive the value using Sumif formula for party type Government and state "Maharashtra"</t>
  </si>
  <si>
    <t>Count the city "Mumbai" using countif formula</t>
  </si>
  <si>
    <t>Create dropdown list for party name</t>
  </si>
  <si>
    <t>Which function in Excel tells how many Text entries are there ?</t>
  </si>
  <si>
    <t>WIDTH</t>
  </si>
  <si>
    <t>CHAR</t>
  </si>
  <si>
    <t>Today()</t>
  </si>
  <si>
    <t>Now()</t>
  </si>
  <si>
    <t>Currentdate()</t>
  </si>
  <si>
    <t>Date()</t>
  </si>
  <si>
    <t>Que. No</t>
  </si>
  <si>
    <t>Standard Answer</t>
  </si>
  <si>
    <t>Enter 5 marks in below condition fulfill
G13:G17 and G28:G32 should be highlighted in red
Also check if Color turns white if cell value F13 is deleted</t>
  </si>
  <si>
    <t>% age</t>
  </si>
  <si>
    <t>Name</t>
  </si>
  <si>
    <t>(Total Marks 30)</t>
  </si>
  <si>
    <t>Select answer from dropdown list</t>
  </si>
  <si>
    <t>Highlight the values in Red using conditional formatting where party type is Private</t>
  </si>
  <si>
    <t>IF, AND, OR, NOT are</t>
  </si>
  <si>
    <t>.xlxt</t>
  </si>
  <si>
    <t>In conditional formatting you can not check the conditions against</t>
  </si>
  <si>
    <t>The accounting style shows negative number in ?</t>
  </si>
  <si>
    <t>Which function in excel counts the number of characters in a cell ?</t>
  </si>
  <si>
    <t>check if dropdown is in cell G10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</si>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</sst>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4">
    <xf numFmtId="0" fontId="0" fillId="0" borderId="0" xfId="0"/>
    <xf numFmtId="0" fontId="13" fillId="0" borderId="0" xfId="0" applyFont="1"/>
    <xf numFmtId="0" fontId="0" fillId="3" borderId="7" xfId="0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vertical="center" wrapText="1"/>
    </xf>
    <xf numFmtId="0" fontId="13" fillId="0" borderId="0" xfId="0" applyFont="1" applyAlignment="1">
      <alignment vertical="top"/>
    </xf>
    <xf numFmtId="0" fontId="15" fillId="0" borderId="11" xfId="0" applyFont="1" applyBorder="1" applyAlignment="1">
      <alignment horizontal="center" vertical="center"/>
    </xf>
    <xf numFmtId="0" fontId="13" fillId="0" borderId="10" xfId="0" applyFont="1" applyBorder="1"/>
    <xf numFmtId="0" fontId="15" fillId="0" borderId="12" xfId="0" applyFont="1" applyBorder="1" applyAlignment="1">
      <alignment horizontal="center" vertical="center"/>
    </xf>
    <xf numFmtId="0" fontId="13" fillId="0" borderId="13" xfId="0" applyFont="1" applyBorder="1"/>
    <xf numFmtId="0" fontId="13" fillId="0" borderId="0" xfId="0" applyFont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9" fontId="17" fillId="0" borderId="28" xfId="1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5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8" fillId="5" borderId="8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4" borderId="17" xfId="0" applyFont="1" applyFill="1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0" fillId="0" borderId="19" xfId="0" applyBorder="1" applyAlignment="1">
      <alignment vertical="center"/>
    </xf>
    <xf numFmtId="0" fontId="0" fillId="0" borderId="17" xfId="0" applyBorder="1" applyAlignment="1">
      <alignment horizontal="right" vertical="center"/>
    </xf>
    <xf numFmtId="0" fontId="0" fillId="0" borderId="20" xfId="0" applyBorder="1" applyAlignment="1">
      <alignment vertical="center"/>
    </xf>
    <xf numFmtId="0" fontId="1" fillId="4" borderId="22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22" xfId="0" applyBorder="1" applyAlignment="1">
      <alignment horizontal="right"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6" xfId="0" applyFont="1" applyFill="1" applyBorder="1" applyAlignment="1" applyProtection="1">
      <alignment horizontal="center" vertical="center"/>
      <protection locked="0"/>
    </xf>
    <xf numFmtId="0" fontId="2" fillId="2" borderId="37" xfId="0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38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0" fillId="8" borderId="15" xfId="0" applyFill="1" applyBorder="1" applyAlignment="1" applyProtection="1">
      <alignment horizontal="center" vertical="center"/>
      <protection locked="0"/>
    </xf>
    <xf numFmtId="0" fontId="0" fillId="8" borderId="23" xfId="0" applyFill="1" applyBorder="1" applyAlignment="1" applyProtection="1">
      <alignment horizontal="center" vertical="center"/>
      <protection locked="0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3" fillId="0" borderId="42" xfId="0" applyFont="1" applyBorder="1"/>
    <xf numFmtId="0" fontId="15" fillId="0" borderId="43" xfId="0" applyFont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0" fillId="0" borderId="45" xfId="0" applyBorder="1" applyAlignment="1" applyProtection="1">
      <alignment vertical="center"/>
      <protection locked="0"/>
    </xf>
    <xf numFmtId="0" fontId="1" fillId="0" borderId="14" xfId="0" applyFont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1" fillId="4" borderId="29" xfId="0" applyFont="1" applyFill="1" applyBorder="1" applyAlignment="1">
      <alignment horizontal="left" vertical="center"/>
    </xf>
    <xf numFmtId="0" fontId="1" fillId="4" borderId="24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/>
    </xf>
    <xf numFmtId="0" fontId="1" fillId="4" borderId="30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left" vertical="center"/>
    </xf>
    <xf numFmtId="0" fontId="1" fillId="4" borderId="25" xfId="0" applyFont="1" applyFill="1" applyBorder="1" applyAlignment="1">
      <alignment horizontal="left" vertical="center"/>
    </xf>
    <xf numFmtId="0" fontId="1" fillId="4" borderId="31" xfId="0" applyFont="1" applyFill="1" applyBorder="1" applyAlignment="1">
      <alignment horizontal="left" vertical="center"/>
    </xf>
    <xf numFmtId="0" fontId="1" fillId="4" borderId="27" xfId="0" applyFont="1" applyFill="1" applyBorder="1" applyAlignment="1">
      <alignment horizontal="left" vertical="center"/>
    </xf>
    <xf numFmtId="0" fontId="1" fillId="4" borderId="28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 applyProtection="1">
      <alignment horizontal="center" vertical="center"/>
      <protection locked="0"/>
    </xf>
    <xf numFmtId="0" fontId="1" fillId="8" borderId="3" xfId="0" applyFont="1" applyFill="1" applyBorder="1" applyAlignment="1" applyProtection="1">
      <alignment horizontal="center" vertical="center"/>
      <protection locked="0"/>
    </xf>
    <xf numFmtId="0" fontId="1" fillId="8" borderId="4" xfId="0" applyFont="1" applyFill="1" applyBorder="1" applyAlignment="1" applyProtection="1">
      <alignment horizontal="center" vertical="center"/>
      <protection locked="0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6" fillId="6" borderId="0" xfId="0" applyFont="1" applyFill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FC70"/>
  <sheetViews>
    <sheetView showGridLines="0" topLeftCell="C1" zoomScale="85" zoomScaleNormal="85" workbookViewId="0">
      <pane ySplit="3" topLeftCell="A52" activePane="bottomLeft" state="frozen"/>
      <selection pane="bottomLeft" activeCell="I66" sqref="I66"/>
    </sheetView>
  </sheetViews>
  <sheetFormatPr defaultColWidth="0" defaultRowHeight="15" x14ac:dyDescent="0.25"/>
  <cols>
    <col min="1" max="1" width="13.140625" style="23" customWidth="1"/>
    <col min="2" max="2" width="22.85546875" style="23" customWidth="1"/>
    <col min="3" max="3" width="17.5703125" style="23" bestFit="1" customWidth="1"/>
    <col min="4" max="4" width="9.5703125" style="23" customWidth="1"/>
    <col min="5" max="5" width="21" style="23" customWidth="1"/>
    <col min="6" max="6" width="19.5703125" style="5" bestFit="1" customWidth="1"/>
    <col min="7" max="7" width="20" style="23" customWidth="1"/>
    <col min="8" max="8" width="3.5703125" style="23" customWidth="1"/>
    <col min="9" max="9" width="15.5703125" style="23" bestFit="1" customWidth="1"/>
    <col min="10" max="10" width="76" style="23" bestFit="1" customWidth="1"/>
    <col min="11" max="11" width="19.5703125" style="23" bestFit="1" customWidth="1"/>
    <col min="12" max="12" width="12.7109375" style="23" customWidth="1"/>
    <col min="13" max="35" width="9.140625" style="23" hidden="1"/>
    <col min="36" max="36" width="0" style="23" hidden="1"/>
    <col min="37" max="16383" width="9.140625" style="23" hidden="1"/>
    <col min="16384" max="16384" width="3" style="23" hidden="1" customWidth="1"/>
  </cols>
  <sheetData>
    <row r="1" spans="1:12" ht="28.5" x14ac:dyDescent="0.25">
      <c r="A1" s="65" t="s">
        <v>93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22"/>
    </row>
    <row r="2" spans="1:12" ht="27" thickBot="1" x14ac:dyDescent="0.3">
      <c r="A2" s="24" t="s">
        <v>113</v>
      </c>
      <c r="B2" s="66"/>
      <c r="C2" s="66"/>
      <c r="D2" s="66"/>
      <c r="E2" s="66"/>
      <c r="F2" s="24" t="s">
        <v>114</v>
      </c>
      <c r="G2" s="22"/>
      <c r="H2" s="22"/>
      <c r="I2" s="22"/>
      <c r="J2" s="22"/>
      <c r="K2" s="22"/>
      <c r="L2" s="22"/>
    </row>
    <row r="3" spans="1:12" ht="19.5" thickBot="1" x14ac:dyDescent="0.3">
      <c r="A3" s="79" t="s">
        <v>76</v>
      </c>
      <c r="B3" s="80"/>
      <c r="C3" s="80"/>
      <c r="D3" s="80"/>
      <c r="E3" s="80"/>
      <c r="F3" s="80"/>
      <c r="G3" s="81"/>
      <c r="I3" s="2"/>
      <c r="J3" s="3" t="s">
        <v>77</v>
      </c>
      <c r="K3" s="4"/>
    </row>
    <row r="4" spans="1:12" ht="21.75" thickBot="1" x14ac:dyDescent="0.3">
      <c r="B4" s="25"/>
      <c r="G4" s="5"/>
      <c r="H4" s="5"/>
      <c r="J4" s="25"/>
      <c r="K4" s="5"/>
    </row>
    <row r="5" spans="1:12" ht="16.5" thickBot="1" x14ac:dyDescent="0.3">
      <c r="A5" s="26" t="s">
        <v>95</v>
      </c>
      <c r="B5" s="76" t="s">
        <v>94</v>
      </c>
      <c r="C5" s="77"/>
      <c r="D5" s="77"/>
      <c r="E5" s="77"/>
      <c r="F5" s="78"/>
      <c r="G5" s="6" t="s">
        <v>91</v>
      </c>
      <c r="H5" s="27"/>
      <c r="I5" s="26" t="s">
        <v>95</v>
      </c>
      <c r="J5" s="28" t="s">
        <v>94</v>
      </c>
      <c r="K5" s="6" t="s">
        <v>91</v>
      </c>
    </row>
    <row r="6" spans="1:12" ht="12" customHeight="1" thickBot="1" x14ac:dyDescent="0.3">
      <c r="B6" s="25"/>
      <c r="I6" s="29"/>
      <c r="J6" s="29"/>
      <c r="K6" s="7"/>
    </row>
    <row r="7" spans="1:12" ht="15.75" thickBot="1" x14ac:dyDescent="0.3">
      <c r="A7" s="30">
        <v>1</v>
      </c>
      <c r="B7" s="67" t="s">
        <v>99</v>
      </c>
      <c r="C7" s="68"/>
      <c r="D7" s="68"/>
      <c r="E7" s="68"/>
      <c r="F7" s="69"/>
      <c r="G7" s="54"/>
      <c r="I7" s="31">
        <v>1</v>
      </c>
      <c r="J7" s="32" t="s">
        <v>117</v>
      </c>
      <c r="K7" s="82"/>
      <c r="L7" s="64" t="s">
        <v>115</v>
      </c>
    </row>
    <row r="8" spans="1:12" x14ac:dyDescent="0.25">
      <c r="A8" s="33">
        <v>2</v>
      </c>
      <c r="B8" s="70" t="s">
        <v>100</v>
      </c>
      <c r="C8" s="71"/>
      <c r="D8" s="71"/>
      <c r="E8" s="71"/>
      <c r="F8" s="72"/>
      <c r="G8" s="55"/>
      <c r="I8" s="34" t="s">
        <v>78</v>
      </c>
      <c r="J8" s="35" t="s">
        <v>47</v>
      </c>
      <c r="K8" s="83"/>
      <c r="L8" s="64"/>
    </row>
    <row r="9" spans="1:12" x14ac:dyDescent="0.25">
      <c r="A9" s="33">
        <v>3</v>
      </c>
      <c r="B9" s="70" t="s">
        <v>116</v>
      </c>
      <c r="C9" s="71"/>
      <c r="D9" s="71"/>
      <c r="E9" s="71"/>
      <c r="F9" s="72"/>
      <c r="G9" s="55"/>
      <c r="I9" s="36" t="s">
        <v>79</v>
      </c>
      <c r="J9" s="37" t="s">
        <v>48</v>
      </c>
      <c r="K9" s="83"/>
      <c r="L9" s="64"/>
    </row>
    <row r="10" spans="1:12" ht="15.75" thickBot="1" x14ac:dyDescent="0.3">
      <c r="A10" s="38">
        <v>4</v>
      </c>
      <c r="B10" s="73" t="s">
        <v>101</v>
      </c>
      <c r="C10" s="74"/>
      <c r="D10" s="74"/>
      <c r="E10" s="74"/>
      <c r="F10" s="75"/>
      <c r="G10" s="55"/>
      <c r="I10" s="36" t="s">
        <v>80</v>
      </c>
      <c r="J10" s="37" t="s">
        <v>49</v>
      </c>
      <c r="K10" s="83"/>
      <c r="L10" s="64"/>
    </row>
    <row r="11" spans="1:12" ht="15.75" thickBot="1" x14ac:dyDescent="0.3">
      <c r="B11" s="39"/>
      <c r="C11" s="39"/>
      <c r="D11" s="39"/>
      <c r="E11" s="39"/>
      <c r="F11" s="39"/>
      <c r="G11" s="40"/>
      <c r="I11" s="41" t="s">
        <v>81</v>
      </c>
      <c r="J11" s="42" t="s">
        <v>50</v>
      </c>
      <c r="K11" s="84"/>
      <c r="L11" s="64"/>
    </row>
    <row r="12" spans="1:12" ht="15.75" thickBot="1" x14ac:dyDescent="0.3">
      <c r="A12" s="46" t="s">
        <v>3</v>
      </c>
      <c r="B12" s="47" t="s">
        <v>4</v>
      </c>
      <c r="C12" s="47" t="s">
        <v>5</v>
      </c>
      <c r="D12" s="47" t="s">
        <v>6</v>
      </c>
      <c r="E12" s="47" t="s">
        <v>0</v>
      </c>
      <c r="F12" s="47" t="s">
        <v>7</v>
      </c>
      <c r="G12" s="48" t="s">
        <v>1</v>
      </c>
      <c r="I12" s="43"/>
      <c r="K12" s="8"/>
    </row>
    <row r="13" spans="1:12" ht="15.75" thickBot="1" x14ac:dyDescent="0.3">
      <c r="A13" s="49">
        <v>1020922</v>
      </c>
      <c r="B13" s="50" t="s">
        <v>8</v>
      </c>
      <c r="C13" s="50" t="s">
        <v>27</v>
      </c>
      <c r="D13" s="50" t="s">
        <v>28</v>
      </c>
      <c r="E13" s="50" t="s">
        <v>29</v>
      </c>
      <c r="F13" s="50" t="s">
        <v>38</v>
      </c>
      <c r="G13" s="51">
        <v>834657</v>
      </c>
      <c r="I13" s="44">
        <v>2</v>
      </c>
      <c r="J13" s="32" t="s">
        <v>73</v>
      </c>
      <c r="K13" s="82"/>
      <c r="L13" s="45"/>
    </row>
    <row r="14" spans="1:12" x14ac:dyDescent="0.25">
      <c r="A14" s="49">
        <v>1020788</v>
      </c>
      <c r="B14" s="50" t="s">
        <v>9</v>
      </c>
      <c r="C14" s="50" t="s">
        <v>30</v>
      </c>
      <c r="D14" s="50" t="s">
        <v>28</v>
      </c>
      <c r="E14" s="50" t="s">
        <v>85</v>
      </c>
      <c r="F14" s="50" t="s">
        <v>38</v>
      </c>
      <c r="G14" s="51">
        <v>210274</v>
      </c>
      <c r="I14" s="34" t="s">
        <v>78</v>
      </c>
      <c r="J14" s="35" t="s">
        <v>68</v>
      </c>
      <c r="K14" s="83"/>
    </row>
    <row r="15" spans="1:12" x14ac:dyDescent="0.25">
      <c r="A15" s="49">
        <v>1021339</v>
      </c>
      <c r="B15" s="50" t="s">
        <v>10</v>
      </c>
      <c r="C15" s="50" t="s">
        <v>40</v>
      </c>
      <c r="D15" s="50" t="s">
        <v>41</v>
      </c>
      <c r="E15" s="50" t="s">
        <v>42</v>
      </c>
      <c r="F15" s="50" t="s">
        <v>38</v>
      </c>
      <c r="G15" s="51">
        <v>359487</v>
      </c>
      <c r="I15" s="36" t="s">
        <v>79</v>
      </c>
      <c r="J15" s="37" t="s">
        <v>51</v>
      </c>
      <c r="K15" s="83"/>
    </row>
    <row r="16" spans="1:12" s="45" customFormat="1" x14ac:dyDescent="0.25">
      <c r="A16" s="49">
        <v>1021067</v>
      </c>
      <c r="B16" s="50" t="s">
        <v>11</v>
      </c>
      <c r="C16" s="50" t="s">
        <v>33</v>
      </c>
      <c r="D16" s="50" t="s">
        <v>34</v>
      </c>
      <c r="E16" s="50" t="s">
        <v>35</v>
      </c>
      <c r="F16" s="50" t="s">
        <v>38</v>
      </c>
      <c r="G16" s="51">
        <v>582460</v>
      </c>
      <c r="H16" s="23"/>
      <c r="I16" s="36" t="s">
        <v>80</v>
      </c>
      <c r="J16" s="37" t="s">
        <v>52</v>
      </c>
      <c r="K16" s="83"/>
      <c r="L16" s="23"/>
    </row>
    <row r="17" spans="1:12" ht="15.75" thickBot="1" x14ac:dyDescent="0.3">
      <c r="A17" s="49">
        <v>1021399</v>
      </c>
      <c r="B17" s="50" t="s">
        <v>12</v>
      </c>
      <c r="C17" s="50" t="s">
        <v>36</v>
      </c>
      <c r="D17" s="50" t="s">
        <v>32</v>
      </c>
      <c r="E17" s="50" t="s">
        <v>37</v>
      </c>
      <c r="F17" s="50" t="s">
        <v>38</v>
      </c>
      <c r="G17" s="51">
        <v>503117</v>
      </c>
      <c r="I17" s="41" t="s">
        <v>81</v>
      </c>
      <c r="J17" s="42" t="s">
        <v>53</v>
      </c>
      <c r="K17" s="84"/>
    </row>
    <row r="18" spans="1:12" ht="15.75" thickBot="1" x14ac:dyDescent="0.3">
      <c r="A18" s="49">
        <v>1022557</v>
      </c>
      <c r="B18" s="50" t="s">
        <v>13</v>
      </c>
      <c r="C18" s="50" t="s">
        <v>36</v>
      </c>
      <c r="D18" s="50" t="s">
        <v>32</v>
      </c>
      <c r="E18" s="50" t="s">
        <v>37</v>
      </c>
      <c r="F18" s="50" t="s">
        <v>2</v>
      </c>
      <c r="G18" s="51">
        <v>971857</v>
      </c>
      <c r="I18" s="43"/>
      <c r="K18" s="8"/>
    </row>
    <row r="19" spans="1:12" ht="15.75" thickBot="1" x14ac:dyDescent="0.3">
      <c r="A19" s="49">
        <v>1022649</v>
      </c>
      <c r="B19" s="50" t="s">
        <v>14</v>
      </c>
      <c r="C19" s="50" t="s">
        <v>36</v>
      </c>
      <c r="D19" s="50" t="s">
        <v>32</v>
      </c>
      <c r="E19" s="50" t="s">
        <v>37</v>
      </c>
      <c r="F19" s="50" t="s">
        <v>2</v>
      </c>
      <c r="G19" s="51">
        <v>821356</v>
      </c>
      <c r="I19" s="31">
        <v>3</v>
      </c>
      <c r="J19" s="32" t="s">
        <v>74</v>
      </c>
      <c r="K19" s="82"/>
      <c r="L19" s="45"/>
    </row>
    <row r="20" spans="1:12" x14ac:dyDescent="0.25">
      <c r="A20" s="49">
        <v>1022431</v>
      </c>
      <c r="B20" s="50" t="s">
        <v>15</v>
      </c>
      <c r="C20" s="50" t="s">
        <v>36</v>
      </c>
      <c r="D20" s="50" t="s">
        <v>32</v>
      </c>
      <c r="E20" s="50" t="s">
        <v>39</v>
      </c>
      <c r="F20" s="50" t="s">
        <v>2</v>
      </c>
      <c r="G20" s="51">
        <v>180581</v>
      </c>
      <c r="I20" s="34" t="s">
        <v>78</v>
      </c>
      <c r="J20" s="35" t="s">
        <v>69</v>
      </c>
      <c r="K20" s="83"/>
    </row>
    <row r="21" spans="1:12" x14ac:dyDescent="0.25">
      <c r="A21" s="49">
        <v>1022650</v>
      </c>
      <c r="B21" s="50" t="s">
        <v>84</v>
      </c>
      <c r="C21" s="50" t="s">
        <v>36</v>
      </c>
      <c r="D21" s="50" t="s">
        <v>32</v>
      </c>
      <c r="E21" s="50" t="s">
        <v>37</v>
      </c>
      <c r="F21" s="50" t="s">
        <v>2</v>
      </c>
      <c r="G21" s="51">
        <v>346698</v>
      </c>
      <c r="I21" s="36" t="s">
        <v>79</v>
      </c>
      <c r="J21" s="37" t="s">
        <v>71</v>
      </c>
      <c r="K21" s="83"/>
    </row>
    <row r="22" spans="1:12" s="45" customFormat="1" x14ac:dyDescent="0.25">
      <c r="A22" s="49">
        <v>1021313</v>
      </c>
      <c r="B22" s="50" t="s">
        <v>16</v>
      </c>
      <c r="C22" s="50" t="s">
        <v>30</v>
      </c>
      <c r="D22" s="50" t="s">
        <v>41</v>
      </c>
      <c r="E22" s="50" t="s">
        <v>31</v>
      </c>
      <c r="F22" s="50" t="s">
        <v>2</v>
      </c>
      <c r="G22" s="51">
        <v>507723</v>
      </c>
      <c r="H22" s="23"/>
      <c r="I22" s="36" t="s">
        <v>80</v>
      </c>
      <c r="J22" s="37" t="s">
        <v>70</v>
      </c>
      <c r="K22" s="83"/>
      <c r="L22" s="23"/>
    </row>
    <row r="23" spans="1:12" ht="15.75" thickBot="1" x14ac:dyDescent="0.3">
      <c r="A23" s="49">
        <v>1021324</v>
      </c>
      <c r="B23" s="50" t="s">
        <v>17</v>
      </c>
      <c r="C23" s="50" t="s">
        <v>30</v>
      </c>
      <c r="D23" s="50" t="s">
        <v>41</v>
      </c>
      <c r="E23" s="50" t="s">
        <v>85</v>
      </c>
      <c r="F23" s="50" t="s">
        <v>2</v>
      </c>
      <c r="G23" s="51">
        <v>838654</v>
      </c>
      <c r="I23" s="41" t="s">
        <v>81</v>
      </c>
      <c r="J23" s="42" t="s">
        <v>72</v>
      </c>
      <c r="K23" s="84"/>
    </row>
    <row r="24" spans="1:12" ht="15.75" thickBot="1" x14ac:dyDescent="0.3">
      <c r="A24" s="49">
        <v>1021274</v>
      </c>
      <c r="B24" s="50" t="s">
        <v>18</v>
      </c>
      <c r="C24" s="50" t="s">
        <v>30</v>
      </c>
      <c r="D24" s="50" t="s">
        <v>41</v>
      </c>
      <c r="E24" s="50" t="s">
        <v>31</v>
      </c>
      <c r="F24" s="50" t="s">
        <v>2</v>
      </c>
      <c r="G24" s="51">
        <v>1230673</v>
      </c>
      <c r="I24" s="43"/>
      <c r="K24" s="8"/>
    </row>
    <row r="25" spans="1:12" ht="15.75" thickBot="1" x14ac:dyDescent="0.3">
      <c r="A25" s="49">
        <v>1021205</v>
      </c>
      <c r="B25" s="50" t="s">
        <v>19</v>
      </c>
      <c r="C25" s="50" t="s">
        <v>30</v>
      </c>
      <c r="D25" s="50" t="s">
        <v>41</v>
      </c>
      <c r="E25" s="50" t="s">
        <v>31</v>
      </c>
      <c r="F25" s="50" t="s">
        <v>2</v>
      </c>
      <c r="G25" s="51">
        <v>889038</v>
      </c>
      <c r="I25" s="44">
        <v>4</v>
      </c>
      <c r="J25" s="32" t="s">
        <v>102</v>
      </c>
      <c r="K25" s="82"/>
      <c r="L25" s="45"/>
    </row>
    <row r="26" spans="1:12" x14ac:dyDescent="0.25">
      <c r="A26" s="49">
        <v>1021132</v>
      </c>
      <c r="B26" s="50" t="s">
        <v>20</v>
      </c>
      <c r="C26" s="50" t="s">
        <v>30</v>
      </c>
      <c r="D26" s="50" t="s">
        <v>41</v>
      </c>
      <c r="E26" s="50" t="s">
        <v>31</v>
      </c>
      <c r="F26" s="50" t="s">
        <v>2</v>
      </c>
      <c r="G26" s="51">
        <v>985317</v>
      </c>
      <c r="I26" s="34" t="s">
        <v>78</v>
      </c>
      <c r="J26" s="35" t="s">
        <v>56</v>
      </c>
      <c r="K26" s="83"/>
    </row>
    <row r="27" spans="1:12" x14ac:dyDescent="0.25">
      <c r="A27" s="49">
        <v>1021299</v>
      </c>
      <c r="B27" s="50" t="s">
        <v>21</v>
      </c>
      <c r="C27" s="50" t="s">
        <v>30</v>
      </c>
      <c r="D27" s="50" t="s">
        <v>41</v>
      </c>
      <c r="E27" s="50" t="s">
        <v>31</v>
      </c>
      <c r="F27" s="50" t="s">
        <v>2</v>
      </c>
      <c r="G27" s="51">
        <v>548595</v>
      </c>
      <c r="I27" s="36" t="s">
        <v>79</v>
      </c>
      <c r="J27" s="37" t="s">
        <v>123</v>
      </c>
      <c r="K27" s="83"/>
    </row>
    <row r="28" spans="1:12" s="45" customFormat="1" x14ac:dyDescent="0.25">
      <c r="A28" s="49">
        <v>1021145</v>
      </c>
      <c r="B28" s="50" t="s">
        <v>22</v>
      </c>
      <c r="C28" s="50" t="s">
        <v>82</v>
      </c>
      <c r="D28" s="50" t="s">
        <v>32</v>
      </c>
      <c r="E28" s="50" t="s">
        <v>83</v>
      </c>
      <c r="F28" s="50" t="s">
        <v>38</v>
      </c>
      <c r="G28" s="51">
        <v>532084</v>
      </c>
      <c r="H28" s="23"/>
      <c r="I28" s="36" t="s">
        <v>80</v>
      </c>
      <c r="J28" s="37" t="s">
        <v>54</v>
      </c>
      <c r="K28" s="83"/>
      <c r="L28" s="23"/>
    </row>
    <row r="29" spans="1:12" ht="15.75" thickBot="1" x14ac:dyDescent="0.3">
      <c r="A29" s="49">
        <v>1021224</v>
      </c>
      <c r="B29" s="50" t="s">
        <v>23</v>
      </c>
      <c r="C29" s="50" t="s">
        <v>82</v>
      </c>
      <c r="D29" s="50" t="s">
        <v>32</v>
      </c>
      <c r="E29" s="50" t="s">
        <v>83</v>
      </c>
      <c r="F29" s="50" t="s">
        <v>38</v>
      </c>
      <c r="G29" s="51">
        <v>266006</v>
      </c>
      <c r="I29" s="41" t="s">
        <v>81</v>
      </c>
      <c r="J29" s="42" t="s">
        <v>55</v>
      </c>
      <c r="K29" s="84"/>
    </row>
    <row r="30" spans="1:12" ht="15.75" thickBot="1" x14ac:dyDescent="0.3">
      <c r="A30" s="49">
        <v>1022338</v>
      </c>
      <c r="B30" s="50" t="s">
        <v>24</v>
      </c>
      <c r="C30" s="50" t="s">
        <v>43</v>
      </c>
      <c r="D30" s="50" t="s">
        <v>41</v>
      </c>
      <c r="E30" s="50" t="s">
        <v>44</v>
      </c>
      <c r="F30" s="50" t="s">
        <v>38</v>
      </c>
      <c r="G30" s="51">
        <v>388900</v>
      </c>
      <c r="I30" s="43"/>
      <c r="K30" s="8"/>
    </row>
    <row r="31" spans="1:12" ht="15.75" thickBot="1" x14ac:dyDescent="0.3">
      <c r="A31" s="49">
        <v>1021112</v>
      </c>
      <c r="B31" s="50" t="s">
        <v>25</v>
      </c>
      <c r="C31" s="50" t="s">
        <v>40</v>
      </c>
      <c r="D31" s="50" t="s">
        <v>41</v>
      </c>
      <c r="E31" s="50" t="s">
        <v>42</v>
      </c>
      <c r="F31" s="50" t="s">
        <v>38</v>
      </c>
      <c r="G31" s="51">
        <v>162782</v>
      </c>
      <c r="I31" s="44">
        <v>5</v>
      </c>
      <c r="J31" s="32" t="s">
        <v>75</v>
      </c>
      <c r="K31" s="82"/>
      <c r="L31" s="45"/>
    </row>
    <row r="32" spans="1:12" ht="15.75" thickBot="1" x14ac:dyDescent="0.3">
      <c r="A32" s="52">
        <v>1022333</v>
      </c>
      <c r="B32" s="53" t="s">
        <v>26</v>
      </c>
      <c r="C32" s="53" t="s">
        <v>45</v>
      </c>
      <c r="D32" s="53" t="s">
        <v>41</v>
      </c>
      <c r="E32" s="53" t="s">
        <v>46</v>
      </c>
      <c r="F32" s="53" t="s">
        <v>38</v>
      </c>
      <c r="G32" s="63">
        <v>695818</v>
      </c>
      <c r="I32" s="34" t="s">
        <v>78</v>
      </c>
      <c r="J32" s="35" t="s">
        <v>57</v>
      </c>
      <c r="K32" s="83"/>
    </row>
    <row r="33" spans="9:12" x14ac:dyDescent="0.25">
      <c r="I33" s="36" t="s">
        <v>79</v>
      </c>
      <c r="J33" s="37" t="s">
        <v>58</v>
      </c>
      <c r="K33" s="83"/>
    </row>
    <row r="34" spans="9:12" s="45" customFormat="1" x14ac:dyDescent="0.25">
      <c r="I34" s="36" t="s">
        <v>80</v>
      </c>
      <c r="J34" s="37" t="s">
        <v>59</v>
      </c>
      <c r="K34" s="83"/>
      <c r="L34" s="23"/>
    </row>
    <row r="35" spans="9:12" ht="15.75" thickBot="1" x14ac:dyDescent="0.3">
      <c r="I35" s="41" t="s">
        <v>81</v>
      </c>
      <c r="J35" s="42" t="s">
        <v>118</v>
      </c>
      <c r="K35" s="84"/>
    </row>
    <row r="36" spans="9:12" ht="15.75" thickBot="1" x14ac:dyDescent="0.3">
      <c r="I36" s="43"/>
      <c r="K36" s="8"/>
    </row>
    <row r="37" spans="9:12" ht="15.75" thickBot="1" x14ac:dyDescent="0.3">
      <c r="I37" s="44">
        <v>6</v>
      </c>
      <c r="J37" s="32" t="s">
        <v>119</v>
      </c>
      <c r="K37" s="82"/>
      <c r="L37" s="45"/>
    </row>
    <row r="38" spans="9:12" x14ac:dyDescent="0.25">
      <c r="I38" s="34" t="s">
        <v>78</v>
      </c>
      <c r="J38" s="35" t="s">
        <v>69</v>
      </c>
      <c r="K38" s="83"/>
    </row>
    <row r="39" spans="9:12" x14ac:dyDescent="0.25">
      <c r="I39" s="36" t="s">
        <v>79</v>
      </c>
      <c r="J39" s="37" t="s">
        <v>72</v>
      </c>
      <c r="K39" s="83"/>
    </row>
    <row r="40" spans="9:12" s="45" customFormat="1" x14ac:dyDescent="0.25">
      <c r="I40" s="36" t="s">
        <v>80</v>
      </c>
      <c r="J40" s="37" t="s">
        <v>60</v>
      </c>
      <c r="K40" s="83"/>
      <c r="L40" s="23"/>
    </row>
    <row r="41" spans="9:12" ht="15.75" thickBot="1" x14ac:dyDescent="0.3">
      <c r="I41" s="41" t="s">
        <v>81</v>
      </c>
      <c r="J41" s="42" t="s">
        <v>98</v>
      </c>
      <c r="K41" s="84"/>
    </row>
    <row r="42" spans="9:12" ht="15.75" thickBot="1" x14ac:dyDescent="0.3">
      <c r="I42" s="43"/>
      <c r="K42" s="8"/>
    </row>
    <row r="43" spans="9:12" ht="15.75" thickBot="1" x14ac:dyDescent="0.3">
      <c r="I43" s="44">
        <v>7</v>
      </c>
      <c r="J43" s="32" t="s">
        <v>120</v>
      </c>
      <c r="K43" s="82"/>
      <c r="L43" s="45"/>
    </row>
    <row r="44" spans="9:12" x14ac:dyDescent="0.25">
      <c r="I44" s="34" t="s">
        <v>78</v>
      </c>
      <c r="J44" s="35" t="s">
        <v>61</v>
      </c>
      <c r="K44" s="83"/>
    </row>
    <row r="45" spans="9:12" x14ac:dyDescent="0.25">
      <c r="I45" s="36" t="s">
        <v>79</v>
      </c>
      <c r="J45" s="37" t="s">
        <v>62</v>
      </c>
      <c r="K45" s="83"/>
    </row>
    <row r="46" spans="9:12" s="45" customFormat="1" x14ac:dyDescent="0.25">
      <c r="I46" s="36" t="s">
        <v>80</v>
      </c>
      <c r="J46" s="37" t="s">
        <v>63</v>
      </c>
      <c r="K46" s="83"/>
      <c r="L46" s="23"/>
    </row>
    <row r="47" spans="9:12" ht="15.75" thickBot="1" x14ac:dyDescent="0.3">
      <c r="I47" s="41" t="s">
        <v>81</v>
      </c>
      <c r="J47" s="42" t="s">
        <v>64</v>
      </c>
      <c r="K47" s="84"/>
    </row>
    <row r="48" spans="9:12" ht="15.75" thickBot="1" x14ac:dyDescent="0.3">
      <c r="I48" s="43"/>
      <c r="K48" s="8"/>
    </row>
    <row r="49" spans="9:12" ht="15.75" thickBot="1" x14ac:dyDescent="0.3">
      <c r="I49" s="44">
        <v>8</v>
      </c>
      <c r="J49" s="32" t="s">
        <v>121</v>
      </c>
      <c r="K49" s="82"/>
      <c r="L49" s="45"/>
    </row>
    <row r="50" spans="9:12" x14ac:dyDescent="0.25">
      <c r="I50" s="34" t="s">
        <v>78</v>
      </c>
      <c r="J50" s="35" t="s">
        <v>65</v>
      </c>
      <c r="K50" s="83"/>
    </row>
    <row r="51" spans="9:12" x14ac:dyDescent="0.25">
      <c r="I51" s="36" t="s">
        <v>79</v>
      </c>
      <c r="J51" s="37" t="s">
        <v>103</v>
      </c>
      <c r="K51" s="83"/>
    </row>
    <row r="52" spans="9:12" s="45" customFormat="1" x14ac:dyDescent="0.25">
      <c r="I52" s="36" t="s">
        <v>80</v>
      </c>
      <c r="J52" s="37" t="s">
        <v>104</v>
      </c>
      <c r="K52" s="83"/>
      <c r="L52" s="23"/>
    </row>
    <row r="53" spans="9:12" ht="15.75" thickBot="1" x14ac:dyDescent="0.3">
      <c r="I53" s="41" t="s">
        <v>81</v>
      </c>
      <c r="J53" s="42" t="s">
        <v>66</v>
      </c>
      <c r="K53" s="84"/>
    </row>
    <row r="54" spans="9:12" ht="15.75" thickBot="1" x14ac:dyDescent="0.3">
      <c r="I54" s="43"/>
      <c r="K54" s="8"/>
    </row>
    <row r="55" spans="9:12" ht="15.75" thickBot="1" x14ac:dyDescent="0.3">
      <c r="I55" s="44">
        <v>9</v>
      </c>
      <c r="J55" s="32" t="s">
        <v>86</v>
      </c>
      <c r="K55" s="82"/>
      <c r="L55" s="45"/>
    </row>
    <row r="56" spans="9:12" x14ac:dyDescent="0.25">
      <c r="I56" s="34" t="s">
        <v>78</v>
      </c>
      <c r="J56" s="35" t="s">
        <v>105</v>
      </c>
      <c r="K56" s="83"/>
    </row>
    <row r="57" spans="9:12" x14ac:dyDescent="0.25">
      <c r="I57" s="36" t="s">
        <v>79</v>
      </c>
      <c r="J57" s="37" t="s">
        <v>106</v>
      </c>
      <c r="K57" s="83"/>
    </row>
    <row r="58" spans="9:12" s="45" customFormat="1" x14ac:dyDescent="0.25">
      <c r="I58" s="36" t="s">
        <v>80</v>
      </c>
      <c r="J58" s="37" t="s">
        <v>108</v>
      </c>
      <c r="K58" s="83"/>
      <c r="L58" s="23"/>
    </row>
    <row r="59" spans="9:12" ht="15.75" thickBot="1" x14ac:dyDescent="0.3">
      <c r="I59" s="41" t="s">
        <v>81</v>
      </c>
      <c r="J59" s="42" t="s">
        <v>107</v>
      </c>
      <c r="K59" s="84"/>
    </row>
    <row r="60" spans="9:12" ht="15.75" thickBot="1" x14ac:dyDescent="0.3">
      <c r="I60" s="43"/>
      <c r="K60" s="8"/>
    </row>
    <row r="61" spans="9:12" ht="15.75" thickBot="1" x14ac:dyDescent="0.3">
      <c r="I61" s="44">
        <v>10</v>
      </c>
      <c r="J61" s="32" t="s">
        <v>67</v>
      </c>
      <c r="K61" s="82"/>
      <c r="L61" s="45"/>
    </row>
    <row r="62" spans="9:12" x14ac:dyDescent="0.25">
      <c r="I62" s="34" t="s">
        <v>78</v>
      </c>
      <c r="J62" s="35" t="s">
        <v>87</v>
      </c>
      <c r="K62" s="83"/>
      <c r="L62" s="5"/>
    </row>
    <row r="63" spans="9:12" x14ac:dyDescent="0.25">
      <c r="I63" s="36" t="s">
        <v>79</v>
      </c>
      <c r="J63" s="37" t="s">
        <v>88</v>
      </c>
      <c r="K63" s="83"/>
      <c r="L63" s="5"/>
    </row>
    <row r="64" spans="9:12" s="45" customFormat="1" x14ac:dyDescent="0.25">
      <c r="I64" s="36" t="s">
        <v>80</v>
      </c>
      <c r="J64" s="37" t="s">
        <v>90</v>
      </c>
      <c r="K64" s="83"/>
      <c r="L64" s="5"/>
    </row>
    <row r="65" spans="9:12" ht="15.75" thickBot="1" x14ac:dyDescent="0.3">
      <c r="I65" s="41" t="s">
        <v>81</v>
      </c>
      <c r="J65" s="42" t="s">
        <v>89</v>
      </c>
      <c r="K65" s="84"/>
      <c r="L65" s="5"/>
    </row>
    <row r="66" spans="9:12" x14ac:dyDescent="0.25">
      <c r="K66" s="5"/>
    </row>
    <row r="67" spans="9:12" x14ac:dyDescent="0.25">
      <c r="K67" s="5"/>
    </row>
    <row r="70" spans="9:12" s="45" customFormat="1" x14ac:dyDescent="0.25"/>
  </sheetData>
  <sheetProtection formatCells="0" formatColumns="0" formatRows="0" insertColumns="0" insertRows="0" insertHyperlinks="0" deleteColumns="0" deleteRows="0" sort="0" autoFilter="0" pivotTables="0"/>
  <mergeCells count="19">
    <mergeCell ref="K61:K65"/>
    <mergeCell ref="K7:K11"/>
    <mergeCell ref="K13:K17"/>
    <mergeCell ref="K19:K23"/>
    <mergeCell ref="K25:K29"/>
    <mergeCell ref="K31:K35"/>
    <mergeCell ref="K37:K41"/>
    <mergeCell ref="K43:K47"/>
    <mergeCell ref="K49:K53"/>
    <mergeCell ref="K55:K59"/>
    <mergeCell ref="L7:L11"/>
    <mergeCell ref="A1:K1"/>
    <mergeCell ref="B2:E2"/>
    <mergeCell ref="B7:F7"/>
    <mergeCell ref="B8:F8"/>
    <mergeCell ref="B9:F9"/>
    <mergeCell ref="B10:F10"/>
    <mergeCell ref="B5:F5"/>
    <mergeCell ref="A3:G3"/>
  </mergeCells>
  <dataValidations count="1">
    <dataValidation type="list" allowBlank="1" showInputMessage="1" showErrorMessage="1" sqref="K7:K11 K13:K17 K19:K23 K25:K29 K31:K35 K37:K41 K43:K47 K49:K53 K55:K59 K61:K65" xr:uid="{00000000-0002-0000-0000-000000000000}">
      <formula1>"A,B,C,D"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9"/>
  <sheetViews>
    <sheetView showGridLines="0" tabSelected="1" topLeftCell="D1" workbookViewId="0">
      <selection activeCell="D1" sqref="D1"/>
    </sheetView>
  </sheetViews>
  <sheetFormatPr defaultRowHeight="12.75" outlineLevelCol="1" x14ac:dyDescent="0.2"/>
  <cols>
    <col min="1" max="1" width="12" style="1" hidden="1" customWidth="1" outlineLevel="1"/>
    <col min="2" max="2" width="53.5703125" style="1" hidden="1" customWidth="1" outlineLevel="1"/>
    <col min="3" max="3" width="17.5703125" style="17" hidden="1" customWidth="1" outlineLevel="1"/>
    <col min="4" max="4" width="9.140625" style="1" collapsed="1"/>
    <col min="5" max="16384" width="9.140625" style="1"/>
  </cols>
  <sheetData>
    <row r="1" spans="1:4" ht="18.75" x14ac:dyDescent="0.3">
      <c r="A1" s="87" t="s">
        <v>93</v>
      </c>
      <c r="B1" s="87"/>
      <c r="C1" s="87"/>
    </row>
    <row r="3" spans="1:4" x14ac:dyDescent="0.2">
      <c r="A3" s="1" t="s">
        <v>113</v>
      </c>
      <c r="B3" s="1">
        <f>Test!B2</f>
        <v>0</v>
      </c>
    </row>
    <row r="4" spans="1:4" ht="13.5" thickBot="1" x14ac:dyDescent="0.25"/>
    <row r="5" spans="1:4" ht="13.5" thickBot="1" x14ac:dyDescent="0.25">
      <c r="B5" s="85" t="s">
        <v>96</v>
      </c>
      <c r="C5" s="86"/>
    </row>
    <row r="6" spans="1:4" x14ac:dyDescent="0.2">
      <c r="B6" s="20" t="s">
        <v>97</v>
      </c>
      <c r="C6" s="21" t="s">
        <v>112</v>
      </c>
    </row>
    <row r="7" spans="1:4" ht="13.5" thickBot="1" x14ac:dyDescent="0.25">
      <c r="B7" s="18">
        <f>SUM($C$12:$C$15,$C$20:$C$29)</f>
        <v>0</v>
      </c>
      <c r="C7" s="19">
        <f>B7/30</f>
        <v>0</v>
      </c>
    </row>
    <row r="8" spans="1:4" ht="13.5" thickBot="1" x14ac:dyDescent="0.25"/>
    <row r="9" spans="1:4" ht="16.5" thickBot="1" x14ac:dyDescent="0.25">
      <c r="A9" s="91" t="s">
        <v>76</v>
      </c>
      <c r="B9" s="92"/>
      <c r="C9" s="93"/>
    </row>
    <row r="10" spans="1:4" ht="13.5" thickBot="1" x14ac:dyDescent="0.25"/>
    <row r="11" spans="1:4" ht="13.5" thickBot="1" x14ac:dyDescent="0.25">
      <c r="A11" s="9" t="s">
        <v>109</v>
      </c>
      <c r="B11" s="9" t="s">
        <v>110</v>
      </c>
      <c r="C11" s="9" t="s">
        <v>92</v>
      </c>
    </row>
    <row r="12" spans="1:4" x14ac:dyDescent="0.2">
      <c r="A12" s="13">
        <v>1</v>
      </c>
      <c r="B12" s="10">
        <v>5000000</v>
      </c>
      <c r="C12" s="56" t="str">
        <f>IF(Test!G7="","",IF(Test!G7=Result!B12,5,0))</f>
        <v/>
      </c>
    </row>
    <row r="13" spans="1:4" x14ac:dyDescent="0.2">
      <c r="A13" s="13">
        <v>2</v>
      </c>
      <c r="B13" s="10">
        <v>5</v>
      </c>
      <c r="C13" s="56" t="str">
        <f>IF(Test!G8="","",IF(Test!G8=Result!B13,5,0))</f>
        <v/>
      </c>
    </row>
    <row r="14" spans="1:4" ht="38.25" x14ac:dyDescent="0.2">
      <c r="A14" s="13">
        <v>3</v>
      </c>
      <c r="B14" s="11" t="s">
        <v>111</v>
      </c>
      <c r="C14" s="56"/>
      <c r="D14" s="12"/>
    </row>
    <row r="15" spans="1:4" ht="13.5" thickBot="1" x14ac:dyDescent="0.25">
      <c r="A15" s="15">
        <v>4</v>
      </c>
      <c r="B15" s="62" t="s">
        <v>122</v>
      </c>
      <c r="C15" s="57"/>
      <c r="D15" s="12"/>
    </row>
    <row r="16" spans="1:4" ht="13.5" thickBot="1" x14ac:dyDescent="0.25"/>
    <row r="17" spans="1:3" ht="15.75" thickBot="1" x14ac:dyDescent="0.25">
      <c r="A17" s="88" t="s">
        <v>77</v>
      </c>
      <c r="B17" s="89"/>
      <c r="C17" s="90"/>
    </row>
    <row r="18" spans="1:3" ht="13.5" thickBot="1" x14ac:dyDescent="0.25"/>
    <row r="19" spans="1:3" ht="13.5" thickBot="1" x14ac:dyDescent="0.25">
      <c r="A19" s="61" t="s">
        <v>109</v>
      </c>
      <c r="B19" s="9" t="s">
        <v>110</v>
      </c>
      <c r="C19" s="9" t="s">
        <v>92</v>
      </c>
    </row>
    <row r="20" spans="1:3" x14ac:dyDescent="0.2">
      <c r="A20" s="58">
        <v>1</v>
      </c>
      <c r="B20" s="59" t="s">
        <v>78</v>
      </c>
      <c r="C20" s="60" t="str">
        <f>IF(Test!K7="","",IF(Test!K7=Result!B20,1,0))</f>
        <v/>
      </c>
    </row>
    <row r="21" spans="1:3" x14ac:dyDescent="0.2">
      <c r="A21" s="13">
        <v>2</v>
      </c>
      <c r="B21" s="14" t="s">
        <v>78</v>
      </c>
      <c r="C21" s="56" t="str">
        <f>IF(Test!K13="","",IF(Test!K13=Result!B21,1,0))</f>
        <v/>
      </c>
    </row>
    <row r="22" spans="1:3" x14ac:dyDescent="0.2">
      <c r="A22" s="13">
        <v>3</v>
      </c>
      <c r="B22" s="14" t="s">
        <v>79</v>
      </c>
      <c r="C22" s="56" t="str">
        <f>IF(Test!K19="","",IF(Test!K19=Result!B22,1,0))</f>
        <v/>
      </c>
    </row>
    <row r="23" spans="1:3" x14ac:dyDescent="0.2">
      <c r="A23" s="13">
        <v>4</v>
      </c>
      <c r="B23" s="14" t="s">
        <v>81</v>
      </c>
      <c r="C23" s="56" t="str">
        <f>IF(Test!K25="","",IF(Test!K25=B23,1,0))</f>
        <v/>
      </c>
    </row>
    <row r="24" spans="1:3" x14ac:dyDescent="0.2">
      <c r="A24" s="13">
        <v>5</v>
      </c>
      <c r="B24" s="14" t="s">
        <v>81</v>
      </c>
      <c r="C24" s="56" t="str">
        <f>IF(Test!K31="","",IF(Test!K31=B24,1,0))</f>
        <v/>
      </c>
    </row>
    <row r="25" spans="1:3" x14ac:dyDescent="0.2">
      <c r="A25" s="13">
        <v>6</v>
      </c>
      <c r="B25" s="14" t="s">
        <v>80</v>
      </c>
      <c r="C25" s="56" t="str">
        <f>IF(Test!K37="","",IF(Test!K37=B25,1,0))</f>
        <v/>
      </c>
    </row>
    <row r="26" spans="1:3" x14ac:dyDescent="0.2">
      <c r="A26" s="13">
        <v>7</v>
      </c>
      <c r="B26" s="14" t="s">
        <v>80</v>
      </c>
      <c r="C26" s="56" t="str">
        <f>IF(Test!K43="","",IF(Test!K43=B26,1,0))</f>
        <v/>
      </c>
    </row>
    <row r="27" spans="1:3" x14ac:dyDescent="0.2">
      <c r="A27" s="13">
        <v>8</v>
      </c>
      <c r="B27" s="14" t="s">
        <v>81</v>
      </c>
      <c r="C27" s="56" t="str">
        <f>IF(Test!K49="","",IF(Test!K49=B27,1,0))</f>
        <v/>
      </c>
    </row>
    <row r="28" spans="1:3" x14ac:dyDescent="0.2">
      <c r="A28" s="13">
        <v>9</v>
      </c>
      <c r="B28" s="14" t="s">
        <v>78</v>
      </c>
      <c r="C28" s="56" t="str">
        <f>IF(Test!K55="","",IF(Test!K55=B28,1,0))</f>
        <v/>
      </c>
    </row>
    <row r="29" spans="1:3" ht="13.5" thickBot="1" x14ac:dyDescent="0.25">
      <c r="A29" s="15">
        <v>10</v>
      </c>
      <c r="B29" s="16" t="s">
        <v>81</v>
      </c>
      <c r="C29" s="57" t="str">
        <f>IF(Test!K61="","",IF(Test!K61=B29,1,0))</f>
        <v/>
      </c>
    </row>
  </sheetData>
  <sheetProtection password="CC2C" sheet="1" objects="1" scenarios="1"/>
  <mergeCells count="4">
    <mergeCell ref="B5:C5"/>
    <mergeCell ref="A1:C1"/>
    <mergeCell ref="A17:C17"/>
    <mergeCell ref="A9:C9"/>
  </mergeCells>
  <pageMargins left="0.7" right="0.75" top="1.0900000000000001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</vt:lpstr>
      <vt:lpstr>Result</vt:lpstr>
      <vt:lpstr>Partyname</vt:lpstr>
      <vt:lpstr>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Mali, Pravin [MEDIN NON J&amp;J]</dc:creator>
  <cp:lastModifiedBy>Dell</cp:lastModifiedBy>
  <cp:lastPrinted>2017-06-07T10:17:45Z</cp:lastPrinted>
  <dcterms:created xsi:type="dcterms:W3CDTF">2017-05-29T09:25:43Z</dcterms:created>
  <dcterms:modified xsi:type="dcterms:W3CDTF">2026-08-30T08:12:21Z</dcterms:modified>
</cp:coreProperties>
</file>