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MIS AUG 2026\Satish Dhawale\Lesson No.14 - Pivot Table Masterclass\"/>
    </mc:Choice>
  </mc:AlternateContent>
  <bookViews>
    <workbookView xWindow="0" yWindow="0" windowWidth="23040" windowHeight="9060" activeTab="2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/>
  <pivotCaches>
    <pivotCache cacheId="17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<sst xmlns="http://schemas.openxmlformats.org/spreadsheetml/2006/main" count="2444" uniqueCount="1013">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</sst>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Fill="1" applyBorder="1" applyAlignment="1">
      <alignment horizontal="right" vertical="top" wrapText="1"/>
    </xf>
    <xf numFmtId="164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3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41-4E17-BDD1-FB54F93A05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41-4E17-BDD1-FB54F93A05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41-4E17-BDD1-FB54F93A05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41-4E17-BDD1-FB54F93A0554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57150</xdr:rowOff>
        </xdr:from>
        <xdr:to>
          <xdr:col>1</xdr:col>
          <xdr:colOff>847725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0E90DED-BDB2-48F8-8B99-512669C47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1952625</xdr:colOff>
          <xdr:row>9</xdr:row>
          <xdr:rowOff>66675</xdr:rowOff>
        </xdr:from>
        <xdr:to>
          <xdr:col>1</xdr:col>
          <xdr:colOff>2085975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E77BE13-B606-4DB5-8767-5C3644764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47625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F21C8F1E-0A7B-4D66-A50A-4A840EB70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9</xdr:row>
          <xdr:rowOff>76200</xdr:rowOff>
        </xdr:from>
        <xdr:to>
          <xdr:col>4</xdr:col>
          <xdr:colOff>1809750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6078C78D-81D4-457A-A42D-0FD82A0FC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5.329296180556" createdVersion="6" refreshedVersion="6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72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172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45" zoomScaleNormal="145" workbookViewId="0">
      <selection activeCell="A5" sqref="A5"/>
    </sheetView>
  </sheetViews>
  <sheetFormatPr defaultRowHeight="1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5" customFormat="1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zoomScale="96" zoomScaleNormal="96" workbookViewId="0">
      <selection activeCell="F2" sqref="F2:F6"/>
    </sheetView>
  </sheetViews>
  <sheetFormatPr defaultRowHeight="1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3" customFormat="1" ht="25.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tabSelected="1" zoomScale="106" zoomScaleNormal="106" workbookViewId="0">
      <selection activeCell="F12" sqref="F12"/>
    </sheetView>
  </sheetViews>
  <sheetFormatPr defaultRowHeight="1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15" zoomScaleNormal="115" workbookViewId="0">
      <selection activeCell="B1" sqref="A1:G150"/>
    </sheetView>
  </sheetViews>
  <sheetFormatPr defaultRowHeight="1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6">
        <f t="shared" ref="C2:C33" si="0">TIMEVALUE(VLOOKUP(A2,EData,2,0))</f>
        <v>0.34424768518518517</v>
      </c>
      <c r="D2" s="16">
        <f t="shared" ref="D2:D33" si="1">TIMEVALUE(VLOOKUP(A2,EData,3,0))</f>
        <v>0.20693287037037036</v>
      </c>
      <c r="E2" s="16">
        <f t="shared" ref="E2:E33" si="2">TIMEVALUE(VLOOKUP(A2,BData,9,0))</f>
        <v>4.7708333333333332E-2</v>
      </c>
      <c r="F2">
        <f t="shared" ref="F2:F33" si="3">VLOOKUP(A2,PData,2,0)</f>
        <v>98</v>
      </c>
      <c r="G2" s="17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6">
        <f t="shared" si="0"/>
        <v>0.34416666666666668</v>
      </c>
      <c r="D3" s="16">
        <f t="shared" si="1"/>
        <v>0.20733796296296295</v>
      </c>
      <c r="E3" s="16">
        <f t="shared" si="2"/>
        <v>4.8599537037037038E-2</v>
      </c>
      <c r="F3">
        <f t="shared" si="3"/>
        <v>23</v>
      </c>
      <c r="G3" s="17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6">
        <f t="shared" si="0"/>
        <v>0.34510416666666671</v>
      </c>
      <c r="D4" s="16">
        <f t="shared" si="1"/>
        <v>0.20109953703703706</v>
      </c>
      <c r="E4" s="16">
        <f t="shared" si="2"/>
        <v>5.1319444444444445E-2</v>
      </c>
      <c r="F4">
        <f t="shared" si="3"/>
        <v>28</v>
      </c>
      <c r="G4" s="17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6">
        <f t="shared" si="0"/>
        <v>0.34023148148148147</v>
      </c>
      <c r="D5" s="16">
        <f t="shared" si="1"/>
        <v>0.17884259259259261</v>
      </c>
      <c r="E5" s="16">
        <f t="shared" si="2"/>
        <v>9.6550925925925915E-2</v>
      </c>
      <c r="F5">
        <f t="shared" si="3"/>
        <v>29</v>
      </c>
      <c r="G5" s="17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6">
        <f t="shared" si="0"/>
        <v>0.30603009259259256</v>
      </c>
      <c r="D6" s="16">
        <f t="shared" si="1"/>
        <v>0.13870370370370369</v>
      </c>
      <c r="E6" s="16">
        <f t="shared" si="2"/>
        <v>0.12844907407407408</v>
      </c>
      <c r="F6">
        <f t="shared" si="3"/>
        <v>93</v>
      </c>
      <c r="G6" s="17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6">
        <f t="shared" si="0"/>
        <v>0.20843750000000003</v>
      </c>
      <c r="D7" s="16">
        <f t="shared" si="1"/>
        <v>0.15369212962962964</v>
      </c>
      <c r="E7" s="16">
        <f t="shared" si="2"/>
        <v>1.8831018518518518E-2</v>
      </c>
      <c r="F7">
        <f t="shared" si="3"/>
        <v>92</v>
      </c>
      <c r="G7" s="17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6">
        <f t="shared" si="0"/>
        <v>0.34488425925925931</v>
      </c>
      <c r="D8" s="16">
        <f t="shared" si="1"/>
        <v>0.17553240740740741</v>
      </c>
      <c r="E8" s="16">
        <f t="shared" si="2"/>
        <v>0.11229166666666668</v>
      </c>
      <c r="F8">
        <f t="shared" si="3"/>
        <v>26</v>
      </c>
      <c r="G8" s="17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6">
        <f t="shared" si="0"/>
        <v>0.38646990740740739</v>
      </c>
      <c r="D9" s="16">
        <f t="shared" si="1"/>
        <v>0.24453703703703702</v>
      </c>
      <c r="E9" s="16">
        <f t="shared" si="2"/>
        <v>5.0810185185185187E-2</v>
      </c>
      <c r="F9">
        <f t="shared" si="3"/>
        <v>90</v>
      </c>
      <c r="G9" s="17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6">
        <f t="shared" si="0"/>
        <v>0.34256944444444448</v>
      </c>
      <c r="D10" s="16">
        <f t="shared" si="1"/>
        <v>0.20311342592592593</v>
      </c>
      <c r="E10" s="16">
        <f t="shared" si="2"/>
        <v>4.628472222222222E-2</v>
      </c>
      <c r="F10">
        <f t="shared" si="3"/>
        <v>89</v>
      </c>
      <c r="G10" s="17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6">
        <f t="shared" si="0"/>
        <v>0.34769675925925925</v>
      </c>
      <c r="D11" s="16">
        <f t="shared" si="1"/>
        <v>0.20702546296296295</v>
      </c>
      <c r="E11" s="16">
        <f t="shared" si="2"/>
        <v>4.8576388888888884E-2</v>
      </c>
      <c r="F11">
        <f t="shared" si="3"/>
        <v>54</v>
      </c>
      <c r="G11" s="17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6">
        <f t="shared" si="0"/>
        <v>0.34068287037037037</v>
      </c>
      <c r="D12" s="16">
        <f t="shared" si="1"/>
        <v>0.20518518518518516</v>
      </c>
      <c r="E12" s="16">
        <f t="shared" si="2"/>
        <v>4.809027777777778E-2</v>
      </c>
      <c r="F12">
        <f t="shared" si="3"/>
        <v>87</v>
      </c>
      <c r="G12" s="17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6">
        <f t="shared" si="0"/>
        <v>0.33622685185185186</v>
      </c>
      <c r="D13" s="16">
        <f t="shared" si="1"/>
        <v>0.15812499999999999</v>
      </c>
      <c r="E13" s="16">
        <f t="shared" si="2"/>
        <v>0.12590277777777778</v>
      </c>
      <c r="F13">
        <f t="shared" si="3"/>
        <v>65</v>
      </c>
      <c r="G13" s="17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6">
        <f t="shared" si="0"/>
        <v>0.34349537037037042</v>
      </c>
      <c r="D14" s="16">
        <f t="shared" si="1"/>
        <v>0.19699074074074074</v>
      </c>
      <c r="E14" s="16">
        <f t="shared" si="2"/>
        <v>8.7974537037037046E-2</v>
      </c>
      <c r="F14">
        <f t="shared" si="3"/>
        <v>85</v>
      </c>
      <c r="G14" s="17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6">
        <f t="shared" si="0"/>
        <v>0.33321759259259259</v>
      </c>
      <c r="D15" s="16">
        <f t="shared" si="1"/>
        <v>0.19475694444444444</v>
      </c>
      <c r="E15" s="16">
        <f t="shared" si="2"/>
        <v>4.9004629629629627E-2</v>
      </c>
      <c r="F15">
        <f t="shared" si="3"/>
        <v>65</v>
      </c>
      <c r="G15" s="17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6">
        <f t="shared" si="0"/>
        <v>0.34512731481481485</v>
      </c>
      <c r="D16" s="16">
        <f t="shared" si="1"/>
        <v>0.2066550925925926</v>
      </c>
      <c r="E16" s="16">
        <f t="shared" si="2"/>
        <v>5.3460648148148153E-2</v>
      </c>
      <c r="F16">
        <f t="shared" si="3"/>
        <v>83</v>
      </c>
      <c r="G16" s="17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6">
        <f t="shared" si="0"/>
        <v>0.34531249999999997</v>
      </c>
      <c r="D17" s="16">
        <f t="shared" si="1"/>
        <v>0.17390046296296294</v>
      </c>
      <c r="E17" s="16">
        <f t="shared" si="2"/>
        <v>0.10023148148148148</v>
      </c>
      <c r="F17">
        <f t="shared" si="3"/>
        <v>82</v>
      </c>
      <c r="G17" s="17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6">
        <f t="shared" si="0"/>
        <v>0.32848379629629632</v>
      </c>
      <c r="D18" s="16">
        <f t="shared" si="1"/>
        <v>0.1973611111111111</v>
      </c>
      <c r="E18" s="16">
        <f t="shared" si="2"/>
        <v>3.9224537037037037E-2</v>
      </c>
      <c r="F18">
        <f t="shared" si="3"/>
        <v>81</v>
      </c>
      <c r="G18" s="17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6">
        <f t="shared" si="0"/>
        <v>0.34494212962962961</v>
      </c>
      <c r="D19" s="16">
        <f t="shared" si="1"/>
        <v>0.20702546296296295</v>
      </c>
      <c r="E19" s="16">
        <f t="shared" si="2"/>
        <v>4.8692129629629627E-2</v>
      </c>
      <c r="F19">
        <f t="shared" si="3"/>
        <v>80</v>
      </c>
      <c r="G19" s="17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6">
        <f t="shared" si="0"/>
        <v>0.34810185185185188</v>
      </c>
      <c r="D20" s="16">
        <f t="shared" si="1"/>
        <v>0.18267361111111111</v>
      </c>
      <c r="E20" s="16">
        <f t="shared" si="2"/>
        <v>0.11122685185185184</v>
      </c>
      <c r="F20">
        <f t="shared" si="3"/>
        <v>79</v>
      </c>
      <c r="G20" s="17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6">
        <f t="shared" si="0"/>
        <v>0.34574074074074074</v>
      </c>
      <c r="D21" s="16">
        <f t="shared" si="1"/>
        <v>0.20710648148148147</v>
      </c>
      <c r="E21" s="16">
        <f t="shared" si="2"/>
        <v>5.1736111111111115E-2</v>
      </c>
      <c r="F21">
        <f t="shared" si="3"/>
        <v>78</v>
      </c>
      <c r="G21" s="17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6">
        <f t="shared" si="0"/>
        <v>0.3428356481481481</v>
      </c>
      <c r="D22" s="16">
        <f t="shared" si="1"/>
        <v>0.20393518518518516</v>
      </c>
      <c r="E22" s="16">
        <f t="shared" si="2"/>
        <v>4.6516203703703705E-2</v>
      </c>
      <c r="F22">
        <f t="shared" si="3"/>
        <v>77</v>
      </c>
      <c r="G22" s="17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6">
        <f t="shared" si="0"/>
        <v>0.34553240740740737</v>
      </c>
      <c r="D23" s="16">
        <f t="shared" si="1"/>
        <v>0.20821759259259257</v>
      </c>
      <c r="E23" s="16">
        <f t="shared" si="2"/>
        <v>4.8460648148148149E-2</v>
      </c>
      <c r="F23">
        <f t="shared" si="3"/>
        <v>76</v>
      </c>
      <c r="G23" s="17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6">
        <f t="shared" si="0"/>
        <v>0.32064814814814818</v>
      </c>
      <c r="D24" s="16">
        <f t="shared" si="1"/>
        <v>0.17288194444444446</v>
      </c>
      <c r="E24" s="16">
        <f t="shared" si="2"/>
        <v>9.0486111111111114E-2</v>
      </c>
      <c r="F24">
        <f t="shared" si="3"/>
        <v>75</v>
      </c>
      <c r="G24" s="17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6">
        <f t="shared" si="0"/>
        <v>0.34032407407407406</v>
      </c>
      <c r="D25" s="16">
        <f t="shared" si="1"/>
        <v>0.17644675925925926</v>
      </c>
      <c r="E25" s="16">
        <f t="shared" si="2"/>
        <v>9.116898148148149E-2</v>
      </c>
      <c r="F25">
        <f t="shared" si="3"/>
        <v>74</v>
      </c>
      <c r="G25" s="17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6">
        <f t="shared" si="0"/>
        <v>0.34328703703703706</v>
      </c>
      <c r="D26" s="16">
        <f t="shared" si="1"/>
        <v>0.22703703703703704</v>
      </c>
      <c r="E26" s="16">
        <f t="shared" si="2"/>
        <v>5.0625000000000003E-2</v>
      </c>
      <c r="F26">
        <f t="shared" si="3"/>
        <v>73</v>
      </c>
      <c r="G26" s="17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6">
        <f t="shared" si="0"/>
        <v>0.31663194444444448</v>
      </c>
      <c r="D27" s="16">
        <f t="shared" si="1"/>
        <v>0.21199074074074076</v>
      </c>
      <c r="E27" s="16">
        <f t="shared" si="2"/>
        <v>2.1180555555555553E-2</v>
      </c>
      <c r="F27">
        <f t="shared" si="3"/>
        <v>72</v>
      </c>
      <c r="G27" s="17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6">
        <f t="shared" si="0"/>
        <v>0.34512731481481485</v>
      </c>
      <c r="D28" s="16">
        <f t="shared" si="1"/>
        <v>0.20607638888888888</v>
      </c>
      <c r="E28" s="16">
        <f t="shared" si="2"/>
        <v>4.9768518518518517E-2</v>
      </c>
      <c r="F28">
        <f t="shared" si="3"/>
        <v>71</v>
      </c>
      <c r="G28" s="17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6">
        <f t="shared" si="0"/>
        <v>0.34297453703703701</v>
      </c>
      <c r="D29" s="16">
        <f t="shared" si="1"/>
        <v>0.21273148148148147</v>
      </c>
      <c r="E29" s="16">
        <f t="shared" si="2"/>
        <v>4.8645833333333333E-2</v>
      </c>
      <c r="F29">
        <f t="shared" si="3"/>
        <v>70</v>
      </c>
      <c r="G29" s="17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6">
        <f t="shared" si="0"/>
        <v>0.34387731481481482</v>
      </c>
      <c r="D30" s="16">
        <f t="shared" si="1"/>
        <v>0.17480324074074075</v>
      </c>
      <c r="E30" s="16">
        <f t="shared" si="2"/>
        <v>0.11449074074074074</v>
      </c>
      <c r="F30">
        <f t="shared" si="3"/>
        <v>69</v>
      </c>
      <c r="G30" s="17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6">
        <f t="shared" si="0"/>
        <v>0.31069444444444444</v>
      </c>
      <c r="D31" s="16">
        <f t="shared" si="1"/>
        <v>0.1912962962962963</v>
      </c>
      <c r="E31" s="16">
        <f t="shared" si="2"/>
        <v>5.5787037037037031E-2</v>
      </c>
      <c r="F31">
        <f t="shared" si="3"/>
        <v>68</v>
      </c>
      <c r="G31" s="17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6">
        <f t="shared" si="0"/>
        <v>0.33329861111111109</v>
      </c>
      <c r="D32" s="16">
        <f t="shared" si="1"/>
        <v>0.21824074074074074</v>
      </c>
      <c r="E32" s="16">
        <f t="shared" si="2"/>
        <v>4.809027777777778E-2</v>
      </c>
      <c r="F32">
        <f t="shared" si="3"/>
        <v>67</v>
      </c>
      <c r="G32" s="17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6">
        <f t="shared" si="0"/>
        <v>0.34564814814814815</v>
      </c>
      <c r="D33" s="16">
        <f t="shared" si="1"/>
        <v>0.21184027777777778</v>
      </c>
      <c r="E33" s="16">
        <f t="shared" si="2"/>
        <v>8.9745370370370378E-2</v>
      </c>
      <c r="F33">
        <f t="shared" si="3"/>
        <v>66</v>
      </c>
      <c r="G33" s="17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6">
        <f t="shared" ref="C34:C65" si="6">TIMEVALUE(VLOOKUP(A34,EData,2,0))</f>
        <v>0.34664351851851855</v>
      </c>
      <c r="D34" s="16">
        <f t="shared" ref="D34:D65" si="7">TIMEVALUE(VLOOKUP(A34,EData,3,0))</f>
        <v>0.20781249999999998</v>
      </c>
      <c r="E34" s="16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6">
        <f t="shared" si="6"/>
        <v>0.34471064814814811</v>
      </c>
      <c r="D35" s="16">
        <f t="shared" si="7"/>
        <v>0.20981481481481482</v>
      </c>
      <c r="E35" s="16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6">
        <f t="shared" si="6"/>
        <v>0.31923611111111111</v>
      </c>
      <c r="D36" s="16">
        <f t="shared" si="7"/>
        <v>0.18953703703703703</v>
      </c>
      <c r="E36" s="16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6">
        <f t="shared" si="6"/>
        <v>0.34128472222222223</v>
      </c>
      <c r="D37" s="16">
        <f t="shared" si="7"/>
        <v>0.17200231481481479</v>
      </c>
      <c r="E37" s="16">
        <f t="shared" si="8"/>
        <v>0.10777777777777779</v>
      </c>
      <c r="F37">
        <f t="shared" si="9"/>
        <v>62</v>
      </c>
      <c r="G37" s="17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6">
        <f t="shared" si="6"/>
        <v>0.34012731481481479</v>
      </c>
      <c r="D38" s="16">
        <f t="shared" si="7"/>
        <v>0.20243055555555556</v>
      </c>
      <c r="E38" s="16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6">
        <f t="shared" si="6"/>
        <v>0.3442824074074074</v>
      </c>
      <c r="D39" s="16">
        <f t="shared" si="7"/>
        <v>0.20569444444444443</v>
      </c>
      <c r="E39" s="16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6">
        <f t="shared" si="6"/>
        <v>0.3439699074074074</v>
      </c>
      <c r="D40" s="16">
        <f t="shared" si="7"/>
        <v>0.20620370370370369</v>
      </c>
      <c r="E40" s="16">
        <f t="shared" si="8"/>
        <v>4.8923611111111105E-2</v>
      </c>
      <c r="F40">
        <f t="shared" si="9"/>
        <v>59</v>
      </c>
      <c r="G40" s="17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6">
        <f t="shared" si="6"/>
        <v>0.34541666666666665</v>
      </c>
      <c r="D41" s="16">
        <f t="shared" si="7"/>
        <v>0.22590277777777779</v>
      </c>
      <c r="E41" s="16">
        <f t="shared" si="8"/>
        <v>4.8749999999999995E-2</v>
      </c>
      <c r="F41">
        <f t="shared" si="9"/>
        <v>58</v>
      </c>
      <c r="G41" s="17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6">
        <f t="shared" si="6"/>
        <v>0.34445601851851854</v>
      </c>
      <c r="D42" s="16">
        <f t="shared" si="7"/>
        <v>0.20725694444444445</v>
      </c>
      <c r="E42" s="16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6">
        <f t="shared" si="6"/>
        <v>0.33342592592592596</v>
      </c>
      <c r="D43" s="16">
        <f t="shared" si="7"/>
        <v>0.16271990740740741</v>
      </c>
      <c r="E43" s="16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6">
        <f t="shared" si="6"/>
        <v>0.2094560185185185</v>
      </c>
      <c r="D44" s="16">
        <f t="shared" si="7"/>
        <v>0.13993055555555556</v>
      </c>
      <c r="E44" s="16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6">
        <f t="shared" si="6"/>
        <v>0.35192129629629632</v>
      </c>
      <c r="D45" s="16">
        <f t="shared" si="7"/>
        <v>0.22140046296296298</v>
      </c>
      <c r="E45" s="16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6">
        <f t="shared" si="6"/>
        <v>0.32876157407407408</v>
      </c>
      <c r="D46" s="16">
        <f t="shared" si="7"/>
        <v>0.22660879629629629</v>
      </c>
      <c r="E46" s="16">
        <f t="shared" si="8"/>
        <v>3.9108796296296301E-2</v>
      </c>
      <c r="F46">
        <f t="shared" si="9"/>
        <v>53</v>
      </c>
      <c r="G46" s="17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6">
        <f t="shared" si="6"/>
        <v>0.33435185185185184</v>
      </c>
      <c r="D47" s="16">
        <f t="shared" si="7"/>
        <v>0.17586805555555554</v>
      </c>
      <c r="E47" s="16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6">
        <f t="shared" si="6"/>
        <v>0.34831018518518514</v>
      </c>
      <c r="D48" s="16">
        <f t="shared" si="7"/>
        <v>0.21436342592592594</v>
      </c>
      <c r="E48" s="16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6">
        <f t="shared" si="6"/>
        <v>0.34407407407407403</v>
      </c>
      <c r="D49" s="16">
        <f t="shared" si="7"/>
        <v>0.19798611111111111</v>
      </c>
      <c r="E49" s="16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6">
        <f t="shared" si="6"/>
        <v>0.33285879629629628</v>
      </c>
      <c r="D50" s="16">
        <f t="shared" si="7"/>
        <v>0.19598379629629628</v>
      </c>
      <c r="E50" s="16">
        <f t="shared" si="8"/>
        <v>4.8738425925925921E-2</v>
      </c>
      <c r="F50">
        <f t="shared" si="9"/>
        <v>49</v>
      </c>
      <c r="G50" s="17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6">
        <f t="shared" si="6"/>
        <v>0.20570601851851852</v>
      </c>
      <c r="D51" s="16">
        <f t="shared" si="7"/>
        <v>0.13252314814814814</v>
      </c>
      <c r="E51" s="16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6">
        <f t="shared" si="6"/>
        <v>0.32318287037037036</v>
      </c>
      <c r="D52" s="16">
        <f t="shared" si="7"/>
        <v>0.19381944444444443</v>
      </c>
      <c r="E52" s="16">
        <f t="shared" si="8"/>
        <v>5.1898148148148145E-2</v>
      </c>
      <c r="F52">
        <f t="shared" si="9"/>
        <v>47</v>
      </c>
      <c r="G52" s="17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6">
        <f t="shared" si="6"/>
        <v>0.33348379629629626</v>
      </c>
      <c r="D53" s="16">
        <f t="shared" si="7"/>
        <v>0.19890046296296296</v>
      </c>
      <c r="E53" s="16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6">
        <f t="shared" si="6"/>
        <v>0.34015046296296297</v>
      </c>
      <c r="D54" s="16">
        <f t="shared" si="7"/>
        <v>0.20222222222222222</v>
      </c>
      <c r="E54" s="16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6">
        <f t="shared" si="6"/>
        <v>0.34311342592592592</v>
      </c>
      <c r="D55" s="16">
        <f t="shared" si="7"/>
        <v>0.21112268518518518</v>
      </c>
      <c r="E55" s="16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6">
        <f t="shared" si="6"/>
        <v>0.32046296296296295</v>
      </c>
      <c r="D56" s="16">
        <f t="shared" si="7"/>
        <v>0.18484953703703702</v>
      </c>
      <c r="E56" s="16">
        <f t="shared" si="8"/>
        <v>4.9143518518518524E-2</v>
      </c>
      <c r="F56">
        <f t="shared" si="9"/>
        <v>43</v>
      </c>
      <c r="G56" s="17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6">
        <f t="shared" si="6"/>
        <v>0.33384259259259258</v>
      </c>
      <c r="D57" s="16">
        <f t="shared" si="7"/>
        <v>0.1867824074074074</v>
      </c>
      <c r="E57" s="16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6">
        <f t="shared" si="6"/>
        <v>0.33012731481481478</v>
      </c>
      <c r="D58" s="16">
        <f t="shared" si="7"/>
        <v>0.18739583333333332</v>
      </c>
      <c r="E58" s="16">
        <f t="shared" si="8"/>
        <v>5.2766203703703697E-2</v>
      </c>
      <c r="F58">
        <f t="shared" si="9"/>
        <v>41</v>
      </c>
      <c r="G58" s="17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6">
        <f t="shared" si="6"/>
        <v>0.34032407407407406</v>
      </c>
      <c r="D59" s="16">
        <f t="shared" si="7"/>
        <v>0.21151620370370372</v>
      </c>
      <c r="E59" s="16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6">
        <f t="shared" si="6"/>
        <v>0.33714120370370365</v>
      </c>
      <c r="D60" s="16">
        <f t="shared" si="7"/>
        <v>0.13162037037037036</v>
      </c>
      <c r="E60" s="16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6">
        <f t="shared" si="6"/>
        <v>0.34364583333333337</v>
      </c>
      <c r="D61" s="16">
        <f t="shared" si="7"/>
        <v>0.17246527777777776</v>
      </c>
      <c r="E61" s="16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6">
        <f t="shared" si="6"/>
        <v>0.21915509259259258</v>
      </c>
      <c r="D62" s="16">
        <f t="shared" si="7"/>
        <v>0.15189814814814814</v>
      </c>
      <c r="E62" s="16">
        <f t="shared" si="8"/>
        <v>1.082175925925926E-2</v>
      </c>
      <c r="F62">
        <f t="shared" si="9"/>
        <v>37</v>
      </c>
      <c r="G62" s="17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6">
        <f t="shared" si="6"/>
        <v>0.3417824074074074</v>
      </c>
      <c r="D63" s="16">
        <f t="shared" si="7"/>
        <v>0.17645833333333336</v>
      </c>
      <c r="E63" s="16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6">
        <f t="shared" si="6"/>
        <v>0.33370370370370367</v>
      </c>
      <c r="D64" s="16">
        <f t="shared" si="7"/>
        <v>0.16336805555555556</v>
      </c>
      <c r="E64" s="16">
        <f t="shared" si="8"/>
        <v>0.11005787037037036</v>
      </c>
      <c r="F64">
        <f t="shared" si="9"/>
        <v>35</v>
      </c>
      <c r="G64" s="17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6">
        <f t="shared" si="6"/>
        <v>0.33026620370370369</v>
      </c>
      <c r="D65" s="16">
        <f t="shared" si="7"/>
        <v>0.16021990740740741</v>
      </c>
      <c r="E65" s="16">
        <f t="shared" si="8"/>
        <v>0.10043981481481483</v>
      </c>
      <c r="F65">
        <f t="shared" si="9"/>
        <v>34</v>
      </c>
      <c r="G65" s="17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6">
        <f t="shared" ref="C66:C97" si="11">TIMEVALUE(VLOOKUP(A66,EData,2,0))</f>
        <v>0.20910879629629631</v>
      </c>
      <c r="D66" s="16">
        <f t="shared" ref="D66:D97" si="12">TIMEVALUE(VLOOKUP(A66,EData,3,0))</f>
        <v>0.13449074074074074</v>
      </c>
      <c r="E66" s="16">
        <f t="shared" ref="E66:E97" si="13">TIMEVALUE(VLOOKUP(A66,BData,9,0))</f>
        <v>2.0532407407407405E-2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6">
        <f t="shared" si="11"/>
        <v>0.34836805555555556</v>
      </c>
      <c r="D67" s="16">
        <f t="shared" si="12"/>
        <v>0.19697916666666668</v>
      </c>
      <c r="E67" s="16">
        <f t="shared" si="13"/>
        <v>5.1423611111111107E-2</v>
      </c>
      <c r="F67">
        <f t="shared" si="14"/>
        <v>32</v>
      </c>
      <c r="G67" s="17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6">
        <f t="shared" si="11"/>
        <v>0.34686342592592595</v>
      </c>
      <c r="D68" s="16">
        <f t="shared" si="12"/>
        <v>0.2043865740740741</v>
      </c>
      <c r="E68" s="16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6">
        <f t="shared" si="11"/>
        <v>0.3480671296296296</v>
      </c>
      <c r="D69" s="16">
        <f t="shared" si="12"/>
        <v>0.19177083333333333</v>
      </c>
      <c r="E69" s="16">
        <f t="shared" si="13"/>
        <v>9.3958333333333324E-2</v>
      </c>
      <c r="F69">
        <f t="shared" si="14"/>
        <v>30</v>
      </c>
      <c r="G69" s="17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6">
        <f t="shared" si="11"/>
        <v>0.33495370370370375</v>
      </c>
      <c r="D70" s="16">
        <f t="shared" si="12"/>
        <v>0.19739583333333333</v>
      </c>
      <c r="E70" s="16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6">
        <f t="shared" si="11"/>
        <v>0.34497685185185184</v>
      </c>
      <c r="D71" s="16">
        <f t="shared" si="12"/>
        <v>0.20746527777777779</v>
      </c>
      <c r="E71" s="16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6">
        <f t="shared" si="11"/>
        <v>0.33376157407407409</v>
      </c>
      <c r="D72" s="16">
        <f t="shared" si="12"/>
        <v>0.19787037037037036</v>
      </c>
      <c r="E72" s="16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6">
        <f t="shared" si="11"/>
        <v>0.33037037037037037</v>
      </c>
      <c r="D73" s="16">
        <f t="shared" si="12"/>
        <v>0.1849652777777778</v>
      </c>
      <c r="E73" s="16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6">
        <f t="shared" si="11"/>
        <v>0.34008101851851852</v>
      </c>
      <c r="D74" s="16">
        <f t="shared" si="12"/>
        <v>0.16811342592592593</v>
      </c>
      <c r="E74" s="16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6">
        <f t="shared" si="11"/>
        <v>0.33415509259259263</v>
      </c>
      <c r="D75" s="16">
        <f t="shared" si="12"/>
        <v>0.16863425925925926</v>
      </c>
      <c r="E75" s="16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6">
        <f t="shared" si="11"/>
        <v>0.34437500000000004</v>
      </c>
      <c r="D76" s="16">
        <f t="shared" si="12"/>
        <v>0.18534722222222222</v>
      </c>
      <c r="E76" s="16">
        <f t="shared" si="13"/>
        <v>8.0162037037037046E-2</v>
      </c>
      <c r="F76">
        <f t="shared" si="14"/>
        <v>33</v>
      </c>
      <c r="G76" s="17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6">
        <f t="shared" si="11"/>
        <v>0.3558101851851852</v>
      </c>
      <c r="D77" s="16">
        <f t="shared" si="12"/>
        <v>0.21642361111111111</v>
      </c>
      <c r="E77" s="16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6">
        <f t="shared" si="11"/>
        <v>0.34848379629629633</v>
      </c>
      <c r="D78" s="16">
        <f t="shared" si="12"/>
        <v>0.12767361111111111</v>
      </c>
      <c r="E78" s="16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6">
        <f t="shared" si="11"/>
        <v>0.35092592592592592</v>
      </c>
      <c r="D79" s="16">
        <f t="shared" si="12"/>
        <v>0.12086805555555556</v>
      </c>
      <c r="E79" s="16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6">
        <f t="shared" si="11"/>
        <v>0.33891203703703704</v>
      </c>
      <c r="D80" s="16">
        <f t="shared" si="12"/>
        <v>0.21581018518518516</v>
      </c>
      <c r="E80" s="16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6">
        <f t="shared" si="11"/>
        <v>0.34675925925925927</v>
      </c>
      <c r="D81" s="16">
        <f t="shared" si="12"/>
        <v>0.17275462962962962</v>
      </c>
      <c r="E81" s="16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6">
        <f t="shared" si="11"/>
        <v>0.3511111111111111</v>
      </c>
      <c r="D82" s="16">
        <f t="shared" si="12"/>
        <v>0.15339120370370371</v>
      </c>
      <c r="E82" s="16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6">
        <f t="shared" si="11"/>
        <v>0.3447453703703704</v>
      </c>
      <c r="D83" s="16">
        <f t="shared" si="12"/>
        <v>0.21947916666666667</v>
      </c>
      <c r="E83" s="16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6">
        <f t="shared" si="11"/>
        <v>0.3167476851851852</v>
      </c>
      <c r="D84" s="16">
        <f t="shared" si="12"/>
        <v>0.21346064814814814</v>
      </c>
      <c r="E84" s="16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6">
        <f t="shared" si="11"/>
        <v>0.34024305555555556</v>
      </c>
      <c r="D85" s="16">
        <f t="shared" si="12"/>
        <v>0.21100694444444446</v>
      </c>
      <c r="E85" s="16">
        <f t="shared" si="13"/>
        <v>4.7731481481481486E-2</v>
      </c>
      <c r="F85">
        <f t="shared" si="14"/>
        <v>42</v>
      </c>
      <c r="G85" s="17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6">
        <f t="shared" si="11"/>
        <v>0.33611111111111108</v>
      </c>
      <c r="D86" s="16">
        <f t="shared" si="12"/>
        <v>0.21214120370370371</v>
      </c>
      <c r="E86" s="16">
        <f t="shared" si="13"/>
        <v>4.7500000000000007E-2</v>
      </c>
      <c r="F86">
        <f t="shared" si="14"/>
        <v>43</v>
      </c>
      <c r="G86" s="17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6">
        <f t="shared" si="11"/>
        <v>0.3331365740740741</v>
      </c>
      <c r="D87" s="16">
        <f t="shared" si="12"/>
        <v>0.18670138888888888</v>
      </c>
      <c r="E87" s="16">
        <f t="shared" si="13"/>
        <v>6.7430555555555563E-2</v>
      </c>
      <c r="F87">
        <f t="shared" si="14"/>
        <v>44</v>
      </c>
      <c r="G87" s="17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6">
        <f t="shared" si="11"/>
        <v>0.35135416666666663</v>
      </c>
      <c r="D88" s="16">
        <f t="shared" si="12"/>
        <v>0.20708333333333331</v>
      </c>
      <c r="E88" s="16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6">
        <f t="shared" si="11"/>
        <v>0.34356481481481477</v>
      </c>
      <c r="D89" s="16">
        <f t="shared" si="12"/>
        <v>0.16344907407407408</v>
      </c>
      <c r="E89" s="16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6">
        <f t="shared" si="11"/>
        <v>0.34900462962962964</v>
      </c>
      <c r="D90" s="16">
        <f t="shared" si="12"/>
        <v>3.3715277777777775E-2</v>
      </c>
      <c r="E90" s="16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6">
        <f t="shared" si="11"/>
        <v>0.33378472222222227</v>
      </c>
      <c r="D91" s="16">
        <f t="shared" si="12"/>
        <v>0.21655092592592592</v>
      </c>
      <c r="E91" s="16">
        <f t="shared" si="13"/>
        <v>5.004629629629629E-2</v>
      </c>
      <c r="F91">
        <f t="shared" si="14"/>
        <v>48</v>
      </c>
      <c r="G91" s="17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6">
        <f t="shared" si="11"/>
        <v>0.34559027777777779</v>
      </c>
      <c r="D92" s="16">
        <f t="shared" si="12"/>
        <v>0.2011574074074074</v>
      </c>
      <c r="E92" s="16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6">
        <f t="shared" si="11"/>
        <v>0.21146990740740743</v>
      </c>
      <c r="D93" s="16">
        <f t="shared" si="12"/>
        <v>0.14190972222222223</v>
      </c>
      <c r="E93" s="16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6">
        <f t="shared" si="11"/>
        <v>0.34075231481481483</v>
      </c>
      <c r="D94" s="16">
        <f t="shared" si="12"/>
        <v>0.1976273148148148</v>
      </c>
      <c r="E94" s="16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6">
        <f t="shared" si="11"/>
        <v>0.34390046296296295</v>
      </c>
      <c r="D95" s="16" t="e">
        <f t="shared" si="12"/>
        <v>#VALUE!</v>
      </c>
      <c r="E95" s="16">
        <f t="shared" si="13"/>
        <v>0.34385416666666663</v>
      </c>
      <c r="F95">
        <f t="shared" si="14"/>
        <v>52</v>
      </c>
      <c r="G95" s="17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6">
        <f t="shared" si="11"/>
        <v>0.33532407407407411</v>
      </c>
      <c r="D96" s="16">
        <f t="shared" si="12"/>
        <v>5.0763888888888886E-2</v>
      </c>
      <c r="E96" s="16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6">
        <f t="shared" si="11"/>
        <v>0.34682870370370367</v>
      </c>
      <c r="D97" s="16">
        <f t="shared" si="12"/>
        <v>0.20351851851851852</v>
      </c>
      <c r="E97" s="16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6">
        <f t="shared" ref="C98:C129" si="17">TIMEVALUE(VLOOKUP(A98,EData,2,0))</f>
        <v>0.33483796296296298</v>
      </c>
      <c r="D98" s="16">
        <f t="shared" ref="D98:D129" si="18">TIMEVALUE(VLOOKUP(A98,EData,3,0))</f>
        <v>6.6759259259259254E-2</v>
      </c>
      <c r="E98" s="16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6">
        <f t="shared" si="17"/>
        <v>0.34770833333333334</v>
      </c>
      <c r="D99" s="16">
        <f t="shared" si="18"/>
        <v>0.1784375</v>
      </c>
      <c r="E99" s="16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6">
        <f t="shared" si="17"/>
        <v>0.33384259259259258</v>
      </c>
      <c r="D100" s="16">
        <f t="shared" si="18"/>
        <v>0.19934027777777777</v>
      </c>
      <c r="E100" s="16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6">
        <f t="shared" si="17"/>
        <v>0.3346412037037037</v>
      </c>
      <c r="D101" s="16">
        <f t="shared" si="18"/>
        <v>0.19371527777777778</v>
      </c>
      <c r="E101" s="16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6">
        <f t="shared" si="17"/>
        <v>0.24574074074074073</v>
      </c>
      <c r="D102" s="16">
        <f t="shared" si="18"/>
        <v>0.1202199074074074</v>
      </c>
      <c r="E102" s="16">
        <f t="shared" si="19"/>
        <v>0.11229166666666668</v>
      </c>
      <c r="F102">
        <f t="shared" si="20"/>
        <v>59</v>
      </c>
      <c r="G102" s="17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6">
        <f t="shared" si="17"/>
        <v>0.34446759259259263</v>
      </c>
      <c r="D103" s="16">
        <f t="shared" si="18"/>
        <v>0.18254629629629629</v>
      </c>
      <c r="E103" s="16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6">
        <f t="shared" si="17"/>
        <v>0.34423611111111113</v>
      </c>
      <c r="D104" s="16">
        <f t="shared" si="18"/>
        <v>0.18436342592592592</v>
      </c>
      <c r="E104" s="16">
        <f t="shared" si="19"/>
        <v>6.732638888888888E-2</v>
      </c>
      <c r="F104">
        <f t="shared" si="20"/>
        <v>61</v>
      </c>
      <c r="G104" s="17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6">
        <f t="shared" si="17"/>
        <v>0.34479166666666666</v>
      </c>
      <c r="D105" s="16">
        <f t="shared" si="18"/>
        <v>0.10450231481481481</v>
      </c>
      <c r="E105" s="16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6">
        <f t="shared" si="17"/>
        <v>0.33458333333333329</v>
      </c>
      <c r="D106" s="16">
        <f t="shared" si="18"/>
        <v>0.20292824074074076</v>
      </c>
      <c r="E106" s="16">
        <f t="shared" si="19"/>
        <v>5.092592592592593E-2</v>
      </c>
      <c r="F106">
        <f t="shared" si="20"/>
        <v>63</v>
      </c>
      <c r="G106" s="17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6">
        <f t="shared" si="17"/>
        <v>0.34524305555555551</v>
      </c>
      <c r="D107" s="16" t="e">
        <f t="shared" si="18"/>
        <v>#VALUE!</v>
      </c>
      <c r="E107" s="16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6">
        <f t="shared" si="17"/>
        <v>0.34424768518518517</v>
      </c>
      <c r="D108" s="16">
        <f t="shared" si="18"/>
        <v>0.17256944444444444</v>
      </c>
      <c r="E108" s="16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6">
        <f t="shared" si="17"/>
        <v>0.35488425925925932</v>
      </c>
      <c r="D109" s="16">
        <f t="shared" si="18"/>
        <v>0.23307870370370373</v>
      </c>
      <c r="E109" s="16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6">
        <f t="shared" si="17"/>
        <v>0.33346064814814813</v>
      </c>
      <c r="D110" s="16">
        <f t="shared" si="18"/>
        <v>0.2029050925925926</v>
      </c>
      <c r="E110" s="16">
        <f t="shared" si="19"/>
        <v>4.8194444444444449E-2</v>
      </c>
      <c r="F110">
        <f t="shared" si="20"/>
        <v>67</v>
      </c>
      <c r="G110" s="17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6">
        <f t="shared" si="17"/>
        <v>0.34430555555555559</v>
      </c>
      <c r="D111" s="16">
        <f t="shared" si="18"/>
        <v>0.20876157407407406</v>
      </c>
      <c r="E111" s="16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6">
        <f t="shared" si="17"/>
        <v>0.34439814814814818</v>
      </c>
      <c r="D112" s="16">
        <f t="shared" si="18"/>
        <v>0.19284722222222225</v>
      </c>
      <c r="E112" s="16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6">
        <f t="shared" si="17"/>
        <v>0.34435185185185185</v>
      </c>
      <c r="D113" s="16">
        <f t="shared" si="18"/>
        <v>0.20849537037037036</v>
      </c>
      <c r="E113" s="16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6">
        <f t="shared" si="17"/>
        <v>0.33491898148148147</v>
      </c>
      <c r="D114" s="16">
        <f t="shared" si="18"/>
        <v>0.21258101851851852</v>
      </c>
      <c r="E114" s="16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6">
        <f t="shared" si="17"/>
        <v>0.34442129629629631</v>
      </c>
      <c r="D115" s="16">
        <f t="shared" si="18"/>
        <v>0.22203703703703703</v>
      </c>
      <c r="E115" s="16">
        <f t="shared" si="19"/>
        <v>5.1342592592592586E-2</v>
      </c>
      <c r="F115">
        <f t="shared" si="20"/>
        <v>72</v>
      </c>
      <c r="G115" s="17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6">
        <f t="shared" si="17"/>
        <v>0.33370370370370367</v>
      </c>
      <c r="D116" s="16">
        <f t="shared" si="18"/>
        <v>0.21053240740740742</v>
      </c>
      <c r="E116" s="16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6">
        <f t="shared" si="17"/>
        <v>0.34518518518518521</v>
      </c>
      <c r="D117" s="16">
        <f t="shared" si="18"/>
        <v>0.21524305555555556</v>
      </c>
      <c r="E117" s="16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6">
        <f t="shared" si="17"/>
        <v>0.3354050925925926</v>
      </c>
      <c r="D118" s="16">
        <f t="shared" si="18"/>
        <v>0.19744212962962962</v>
      </c>
      <c r="E118" s="16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6">
        <f t="shared" si="17"/>
        <v>0.33627314814814818</v>
      </c>
      <c r="D119" s="16">
        <f t="shared" si="18"/>
        <v>0.18991898148148148</v>
      </c>
      <c r="E119" s="16">
        <f t="shared" si="19"/>
        <v>6.4317129629629641E-2</v>
      </c>
      <c r="F119">
        <f t="shared" si="20"/>
        <v>76</v>
      </c>
      <c r="G119" s="17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6">
        <f t="shared" si="17"/>
        <v>0.33471064814814816</v>
      </c>
      <c r="D120" s="16">
        <f t="shared" si="18"/>
        <v>0.18868055555555555</v>
      </c>
      <c r="E120" s="16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6">
        <f t="shared" si="17"/>
        <v>0.33974537037037034</v>
      </c>
      <c r="D121" s="16">
        <f t="shared" si="18"/>
        <v>0.20261574074074074</v>
      </c>
      <c r="E121" s="16">
        <f t="shared" si="19"/>
        <v>4.7754629629629626E-2</v>
      </c>
      <c r="F121">
        <f t="shared" si="20"/>
        <v>78</v>
      </c>
      <c r="G121" s="17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6">
        <f t="shared" si="17"/>
        <v>0.34557870370370369</v>
      </c>
      <c r="D122" s="16">
        <f t="shared" si="18"/>
        <v>0.1431597222222222</v>
      </c>
      <c r="E122" s="16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6">
        <f t="shared" si="17"/>
        <v>0.33189814814814816</v>
      </c>
      <c r="D123" s="16">
        <f t="shared" si="18"/>
        <v>0.1439236111111111</v>
      </c>
      <c r="E123" s="16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6">
        <f t="shared" si="17"/>
        <v>0.34369212962962964</v>
      </c>
      <c r="D124" s="16">
        <f t="shared" si="18"/>
        <v>0.22164351851851852</v>
      </c>
      <c r="E124" s="16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6">
        <f t="shared" si="17"/>
        <v>0.3548263888888889</v>
      </c>
      <c r="D125" s="16">
        <f t="shared" si="18"/>
        <v>0.15355324074074075</v>
      </c>
      <c r="E125" s="16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6">
        <f t="shared" si="17"/>
        <v>0.36775462962962963</v>
      </c>
      <c r="D126" s="16">
        <f t="shared" si="18"/>
        <v>0.21557870370370369</v>
      </c>
      <c r="E126" s="16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6">
        <f t="shared" si="17"/>
        <v>0.35119212962962965</v>
      </c>
      <c r="D127" s="16">
        <f t="shared" si="18"/>
        <v>0.15380787037037039</v>
      </c>
      <c r="E127" s="16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6">
        <f t="shared" si="17"/>
        <v>0.34143518518518517</v>
      </c>
      <c r="D128" s="16">
        <f t="shared" si="18"/>
        <v>0.17545138888888889</v>
      </c>
      <c r="E128" s="16">
        <f t="shared" si="19"/>
        <v>9.5694444444444457E-2</v>
      </c>
      <c r="F128">
        <f t="shared" si="20"/>
        <v>85</v>
      </c>
      <c r="G128" s="17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6">
        <f t="shared" si="17"/>
        <v>0.34533564814814816</v>
      </c>
      <c r="D129" s="16">
        <f t="shared" si="18"/>
        <v>0.20476851851851852</v>
      </c>
      <c r="E129" s="16">
        <f t="shared" si="19"/>
        <v>5.5231481481481486E-2</v>
      </c>
      <c r="F129">
        <f t="shared" si="20"/>
        <v>86</v>
      </c>
      <c r="G129" s="17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6">
        <f t="shared" ref="C130:C150" si="22">TIMEVALUE(VLOOKUP(A130,EData,2,0))</f>
        <v>0.34416666666666668</v>
      </c>
      <c r="D130" s="16">
        <f t="shared" ref="D130:D150" si="23">TIMEVALUE(VLOOKUP(A130,EData,3,0))</f>
        <v>0.12054398148148149</v>
      </c>
      <c r="E130" s="16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6">
        <f t="shared" si="22"/>
        <v>0.33975694444444443</v>
      </c>
      <c r="D131" s="16">
        <f t="shared" si="23"/>
        <v>0.21278935185185185</v>
      </c>
      <c r="E131" s="16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6">
        <f t="shared" si="22"/>
        <v>0.33380787037037035</v>
      </c>
      <c r="D132" s="16">
        <f t="shared" si="23"/>
        <v>0.1744212962962963</v>
      </c>
      <c r="E132" s="16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6">
        <f t="shared" si="22"/>
        <v>0.34012731481481479</v>
      </c>
      <c r="D133" s="16">
        <f t="shared" si="23"/>
        <v>0.11028935185185185</v>
      </c>
      <c r="E133" s="16">
        <f t="shared" si="24"/>
        <v>0.19189814814814818</v>
      </c>
      <c r="F133">
        <f t="shared" si="25"/>
        <v>90</v>
      </c>
      <c r="G133" s="17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6">
        <f t="shared" si="22"/>
        <v>0.33354166666666668</v>
      </c>
      <c r="D134" s="16">
        <f t="shared" si="23"/>
        <v>0.19138888888888891</v>
      </c>
      <c r="E134" s="16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6">
        <f t="shared" si="22"/>
        <v>0.3357175925925926</v>
      </c>
      <c r="D135" s="16">
        <f t="shared" si="23"/>
        <v>0.12403935185185185</v>
      </c>
      <c r="E135" s="16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6">
        <f t="shared" si="22"/>
        <v>0.33687500000000004</v>
      </c>
      <c r="D136" s="16">
        <f t="shared" si="23"/>
        <v>0.17017361111111109</v>
      </c>
      <c r="E136" s="16">
        <f t="shared" si="24"/>
        <v>9.5034722222222215E-2</v>
      </c>
      <c r="F136">
        <f t="shared" si="25"/>
        <v>93</v>
      </c>
      <c r="G136" s="17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6">
        <f t="shared" si="22"/>
        <v>0.33709490740740744</v>
      </c>
      <c r="D137" s="16">
        <f t="shared" si="23"/>
        <v>0.18885416666666666</v>
      </c>
      <c r="E137" s="16">
        <f t="shared" si="24"/>
        <v>8.7997685185185193E-2</v>
      </c>
      <c r="F137">
        <f t="shared" si="25"/>
        <v>94</v>
      </c>
      <c r="G137" s="17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6">
        <f t="shared" si="22"/>
        <v>0.34307870370370369</v>
      </c>
      <c r="D138" s="16">
        <f t="shared" si="23"/>
        <v>0.22166666666666668</v>
      </c>
      <c r="E138" s="16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6">
        <f t="shared" si="22"/>
        <v>0.31192129629629628</v>
      </c>
      <c r="D139" s="16">
        <f t="shared" si="23"/>
        <v>0.12112268518518519</v>
      </c>
      <c r="E139" s="16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6">
        <f t="shared" si="22"/>
        <v>0.35686342592592596</v>
      </c>
      <c r="D140" s="16">
        <f t="shared" si="23"/>
        <v>0.19224537037037037</v>
      </c>
      <c r="E140" s="16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6">
        <f t="shared" si="22"/>
        <v>0.34392361111111108</v>
      </c>
      <c r="D141" s="16">
        <f t="shared" si="23"/>
        <v>0.20146990740740742</v>
      </c>
      <c r="E141" s="16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6">
        <f t="shared" si="22"/>
        <v>0.34658564814814818</v>
      </c>
      <c r="D142" s="16">
        <f t="shared" si="23"/>
        <v>0.12475694444444445</v>
      </c>
      <c r="E142" s="16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6">
        <f t="shared" si="22"/>
        <v>0.34281249999999996</v>
      </c>
      <c r="D143" s="16">
        <f t="shared" si="23"/>
        <v>0.22505787037037037</v>
      </c>
      <c r="E143" s="16">
        <f t="shared" si="24"/>
        <v>5.1898148148148145E-2</v>
      </c>
      <c r="F143">
        <f t="shared" si="25"/>
        <v>100</v>
      </c>
      <c r="G143" s="17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6">
        <f t="shared" si="22"/>
        <v>0.35055555555555556</v>
      </c>
      <c r="D144" s="16">
        <f t="shared" si="23"/>
        <v>0.11953703703703704</v>
      </c>
      <c r="E144" s="16">
        <f t="shared" si="24"/>
        <v>0.21081018518518521</v>
      </c>
      <c r="F144">
        <f t="shared" si="25"/>
        <v>101</v>
      </c>
      <c r="G144" s="17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6">
        <f t="shared" si="22"/>
        <v>0.34575231481481478</v>
      </c>
      <c r="D145" s="16">
        <f t="shared" si="23"/>
        <v>0.20268518518518519</v>
      </c>
      <c r="E145" s="16">
        <f t="shared" si="24"/>
        <v>5.004629629629629E-2</v>
      </c>
      <c r="F145">
        <f t="shared" si="25"/>
        <v>102</v>
      </c>
      <c r="G145" s="17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6">
        <f t="shared" si="22"/>
        <v>0.35479166666666667</v>
      </c>
      <c r="D146" s="16">
        <f t="shared" si="23"/>
        <v>0.21916666666666665</v>
      </c>
      <c r="E146" s="16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6">
        <f t="shared" si="22"/>
        <v>0.36542824074074076</v>
      </c>
      <c r="D147" s="16">
        <f t="shared" si="23"/>
        <v>0.15059027777777778</v>
      </c>
      <c r="E147" s="16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6">
        <f t="shared" si="22"/>
        <v>0.34370370370370368</v>
      </c>
      <c r="D148" s="16">
        <f t="shared" si="23"/>
        <v>0.21891203703703702</v>
      </c>
      <c r="E148" s="16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6">
        <f t="shared" si="22"/>
        <v>0.20827546296296295</v>
      </c>
      <c r="D149" s="16">
        <f t="shared" si="23"/>
        <v>0.1310300925925926</v>
      </c>
      <c r="E149" s="16">
        <f t="shared" si="24"/>
        <v>1.045138888888889E-2</v>
      </c>
      <c r="F149">
        <f t="shared" si="25"/>
        <v>106</v>
      </c>
      <c r="G149" s="17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6">
        <f t="shared" si="22"/>
        <v>0.35688657407407409</v>
      </c>
      <c r="D150" s="16">
        <f t="shared" si="23"/>
        <v>0.19362268518518519</v>
      </c>
      <c r="E150" s="16">
        <f t="shared" si="24"/>
        <v>9.5034722222222215E-2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"/>
  <sheetViews>
    <sheetView zoomScale="160" zoomScaleNormal="160" workbookViewId="0">
      <selection activeCell="D8" sqref="D8"/>
    </sheetView>
  </sheetViews>
  <sheetFormatPr defaultRowHeight="15"/>
  <cols>
    <col min="1" max="1" width="13.28515625" bestFit="1" customWidth="1"/>
    <col min="2" max="2" width="31.85546875" bestFit="1" customWidth="1"/>
    <col min="3" max="3" width="5.28515625" customWidth="1"/>
    <col min="4" max="4" width="19.28515625" customWidth="1"/>
    <col min="5" max="5" width="28.140625" customWidth="1"/>
  </cols>
  <sheetData>
    <row r="1" spans="1:5">
      <c r="A1" s="20"/>
      <c r="B1" s="20"/>
      <c r="C1" s="21">
        <v>5</v>
      </c>
      <c r="D1" s="20"/>
      <c r="E1" s="20"/>
    </row>
    <row r="2" spans="1:5">
      <c r="A2" s="20"/>
      <c r="B2" s="20"/>
      <c r="C2" s="21">
        <v>4</v>
      </c>
      <c r="D2" s="20"/>
      <c r="E2" s="20"/>
    </row>
    <row r="3" spans="1:5" ht="18" customHeight="1">
      <c r="A3" s="23" t="s">
        <v>1010</v>
      </c>
      <c r="B3" s="23"/>
      <c r="D3" s="23" t="s">
        <v>1010</v>
      </c>
      <c r="E3" s="23"/>
    </row>
    <row r="4" spans="1:5">
      <c r="A4" s="18" t="s">
        <v>1003</v>
      </c>
      <c r="B4" t="s">
        <v>1009</v>
      </c>
      <c r="D4" s="18" t="s">
        <v>1003</v>
      </c>
      <c r="E4" t="s">
        <v>1011</v>
      </c>
    </row>
    <row r="5" spans="1:5">
      <c r="A5" s="19" t="s">
        <v>1004</v>
      </c>
      <c r="B5" s="16">
        <v>1.3668402777777777</v>
      </c>
      <c r="D5" s="19" t="s">
        <v>1004</v>
      </c>
      <c r="E5" s="22">
        <v>2.0905948641136138</v>
      </c>
    </row>
    <row r="6" spans="1:5">
      <c r="A6" s="19" t="s">
        <v>1005</v>
      </c>
      <c r="B6" s="16">
        <v>0.66396990740740736</v>
      </c>
      <c r="D6" s="19" t="s">
        <v>1005</v>
      </c>
      <c r="E6" s="22">
        <v>1.064298009533315</v>
      </c>
    </row>
    <row r="7" spans="1:5">
      <c r="A7" s="19" t="s">
        <v>1006</v>
      </c>
      <c r="B7" s="16">
        <v>0.67937500000000006</v>
      </c>
      <c r="D7" s="19" t="s">
        <v>1006</v>
      </c>
      <c r="E7" s="22">
        <v>1.122824596941316</v>
      </c>
    </row>
    <row r="8" spans="1:5">
      <c r="A8" s="19" t="s">
        <v>1007</v>
      </c>
      <c r="B8" s="16">
        <v>1.0142939814814815</v>
      </c>
      <c r="D8" s="19" t="s">
        <v>1012</v>
      </c>
      <c r="E8" s="22">
        <v>1.7236731368386569</v>
      </c>
    </row>
    <row r="9" spans="1:5">
      <c r="A9" s="19" t="s">
        <v>1008</v>
      </c>
      <c r="B9" s="16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1952625</xdr:colOff>
                    <xdr:row>9</xdr:row>
                    <xdr:rowOff>66675</xdr:rowOff>
                  </from>
                  <to>
                    <xdr:col>1</xdr:col>
                    <xdr:colOff>2085975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704850</xdr:colOff>
                    <xdr:row>0</xdr:row>
                    <xdr:rowOff>57150</xdr:rowOff>
                  </from>
                  <to>
                    <xdr:col>1</xdr:col>
                    <xdr:colOff>847725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409575</xdr:colOff>
                    <xdr:row>0</xdr:row>
                    <xdr:rowOff>47625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1666875</xdr:colOff>
                    <xdr:row>9</xdr:row>
                    <xdr:rowOff>76200</xdr:rowOff>
                  </from>
                  <to>
                    <xdr:col>4</xdr:col>
                    <xdr:colOff>1809750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dcterms:created xsi:type="dcterms:W3CDTF">2022-05-04T01:32:35Z</dcterms:created>
  <dcterms:modified xsi:type="dcterms:W3CDTF">2026-08-23T23:47:56Z</dcterms:modified>
</cp:coreProperties>
</file>